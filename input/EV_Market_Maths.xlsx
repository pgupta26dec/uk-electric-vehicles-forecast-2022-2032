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electronic-vehicles-forecast\input\"/>
    </mc:Choice>
  </mc:AlternateContent>
  <xr:revisionPtr revIDLastSave="0" documentId="8_{315F5D74-058A-4139-872D-4DBCFA47B9F5}" xr6:coauthVersionLast="47" xr6:coauthVersionMax="47" xr10:uidLastSave="{00000000-0000-0000-0000-000000000000}"/>
  <bookViews>
    <workbookView xWindow="-96" yWindow="-96" windowWidth="23232" windowHeight="13992" xr2:uid="{B878F324-42BA-4F17-9E9D-3621F1E9F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" i="1" l="1"/>
  <c r="R7" i="1"/>
  <c r="S7" i="1"/>
  <c r="P68" i="1" l="1"/>
  <c r="P69" i="1"/>
  <c r="P70" i="1"/>
  <c r="P71" i="1"/>
  <c r="P72" i="1"/>
  <c r="P73" i="1"/>
  <c r="P74" i="1"/>
  <c r="P75" i="1"/>
  <c r="P76" i="1"/>
  <c r="P77" i="1"/>
  <c r="P78" i="1"/>
  <c r="P67" i="1"/>
  <c r="Q68" i="1"/>
  <c r="S68" i="1"/>
  <c r="T68" i="1"/>
  <c r="V68" i="1"/>
  <c r="W68" i="1"/>
  <c r="Q69" i="1"/>
  <c r="S69" i="1"/>
  <c r="T69" i="1"/>
  <c r="V69" i="1"/>
  <c r="W69" i="1"/>
  <c r="Q70" i="1"/>
  <c r="S70" i="1"/>
  <c r="T70" i="1"/>
  <c r="V70" i="1"/>
  <c r="W70" i="1"/>
  <c r="Q71" i="1"/>
  <c r="S71" i="1"/>
  <c r="T71" i="1"/>
  <c r="V71" i="1"/>
  <c r="W71" i="1"/>
  <c r="Q72" i="1"/>
  <c r="S72" i="1"/>
  <c r="T72" i="1"/>
  <c r="V72" i="1"/>
  <c r="W72" i="1"/>
  <c r="Q73" i="1"/>
  <c r="S73" i="1"/>
  <c r="T73" i="1"/>
  <c r="V73" i="1"/>
  <c r="W73" i="1"/>
  <c r="Q74" i="1"/>
  <c r="S74" i="1"/>
  <c r="T74" i="1"/>
  <c r="V74" i="1"/>
  <c r="W74" i="1"/>
  <c r="Q75" i="1"/>
  <c r="S75" i="1"/>
  <c r="T75" i="1"/>
  <c r="V75" i="1"/>
  <c r="W75" i="1"/>
  <c r="Q76" i="1"/>
  <c r="S76" i="1"/>
  <c r="T76" i="1"/>
  <c r="V76" i="1"/>
  <c r="W76" i="1"/>
  <c r="Q77" i="1"/>
  <c r="S77" i="1"/>
  <c r="T77" i="1"/>
  <c r="V77" i="1"/>
  <c r="W77" i="1"/>
  <c r="Q78" i="1"/>
  <c r="S78" i="1"/>
  <c r="T78" i="1"/>
  <c r="V78" i="1"/>
  <c r="W78" i="1"/>
  <c r="W67" i="1"/>
  <c r="V67" i="1"/>
  <c r="T67" i="1"/>
  <c r="S67" i="1"/>
  <c r="Q67" i="1"/>
  <c r="N60" i="1"/>
  <c r="M60" i="1"/>
  <c r="K60" i="1"/>
  <c r="J60" i="1"/>
  <c r="M59" i="1"/>
  <c r="K59" i="1"/>
  <c r="J59" i="1"/>
  <c r="K58" i="1"/>
  <c r="J58" i="1"/>
  <c r="K57" i="1"/>
  <c r="J57" i="1"/>
  <c r="J56" i="1"/>
  <c r="I61" i="1"/>
  <c r="H61" i="1"/>
  <c r="G61" i="1"/>
  <c r="F61" i="1"/>
  <c r="E61" i="1"/>
  <c r="O46" i="1"/>
  <c r="N46" i="1"/>
  <c r="K46" i="1"/>
  <c r="C33" i="1" s="1"/>
  <c r="O45" i="1"/>
  <c r="N45" i="1"/>
  <c r="K45" i="1"/>
  <c r="C32" i="1" s="1"/>
  <c r="P32" i="1" s="1"/>
  <c r="O44" i="1"/>
  <c r="N44" i="1"/>
  <c r="K44" i="1"/>
  <c r="C31" i="1" s="1"/>
  <c r="P31" i="1" s="1"/>
  <c r="O43" i="1"/>
  <c r="N43" i="1"/>
  <c r="K43" i="1"/>
  <c r="C30" i="1" s="1"/>
  <c r="O42" i="1"/>
  <c r="N42" i="1"/>
  <c r="K42" i="1"/>
  <c r="C29" i="1" s="1"/>
  <c r="O41" i="1"/>
  <c r="N41" i="1"/>
  <c r="K41" i="1"/>
  <c r="C28" i="1" s="1"/>
  <c r="P28" i="1" s="1"/>
  <c r="O40" i="1"/>
  <c r="N40" i="1"/>
  <c r="K40" i="1"/>
  <c r="C27" i="1" s="1"/>
  <c r="O39" i="1"/>
  <c r="N39" i="1"/>
  <c r="K39" i="1"/>
  <c r="C26" i="1" s="1"/>
  <c r="O38" i="1"/>
  <c r="N38" i="1"/>
  <c r="K38" i="1"/>
  <c r="C25" i="1" s="1"/>
  <c r="K37" i="1"/>
  <c r="M37" i="1"/>
  <c r="N37" i="1"/>
  <c r="O37" i="1"/>
  <c r="J37" i="1"/>
  <c r="C24" i="1" s="1"/>
  <c r="O35" i="1"/>
  <c r="O21" i="1" s="1"/>
  <c r="N35" i="1"/>
  <c r="N21" i="1" s="1"/>
  <c r="L35" i="1"/>
  <c r="K35" i="1"/>
  <c r="K21" i="1" s="1"/>
  <c r="J35" i="1"/>
  <c r="J21" i="1" s="1"/>
  <c r="I35" i="1"/>
  <c r="H35" i="1"/>
  <c r="G35" i="1"/>
  <c r="F35" i="1"/>
  <c r="E35" i="1"/>
  <c r="M35" i="1"/>
  <c r="M21" i="1" s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E5" i="1"/>
  <c r="C14" i="1" l="1"/>
  <c r="P29" i="1"/>
  <c r="Q30" i="1" s="1"/>
  <c r="R31" i="1" s="1"/>
  <c r="Q33" i="1"/>
  <c r="R34" i="1" s="1"/>
  <c r="C12" i="1"/>
  <c r="P27" i="1"/>
  <c r="C10" i="1"/>
  <c r="J10" i="1" s="1"/>
  <c r="P25" i="1"/>
  <c r="Q26" i="1" s="1"/>
  <c r="C18" i="1"/>
  <c r="P33" i="1"/>
  <c r="C34" i="1"/>
  <c r="P34" i="1" s="1"/>
  <c r="Q29" i="1"/>
  <c r="R30" i="1" s="1"/>
  <c r="S31" i="1" s="1"/>
  <c r="T32" i="1" s="1"/>
  <c r="U33" i="1" s="1"/>
  <c r="V34" i="1" s="1"/>
  <c r="Q24" i="1"/>
  <c r="R25" i="1" s="1"/>
  <c r="S26" i="1" s="1"/>
  <c r="T27" i="1" s="1"/>
  <c r="U24" i="1"/>
  <c r="Y24" i="1"/>
  <c r="Z25" i="1" s="1"/>
  <c r="AA26" i="1" s="1"/>
  <c r="AB27" i="1" s="1"/>
  <c r="AC24" i="1"/>
  <c r="AB24" i="1"/>
  <c r="R24" i="1"/>
  <c r="V24" i="1"/>
  <c r="Z24" i="1"/>
  <c r="AD24" i="1"/>
  <c r="C9" i="1"/>
  <c r="X24" i="1"/>
  <c r="X50" i="1" s="1"/>
  <c r="S24" i="1"/>
  <c r="S50" i="1" s="1"/>
  <c r="W24" i="1"/>
  <c r="W50" i="1" s="1"/>
  <c r="AA24" i="1"/>
  <c r="P24" i="1"/>
  <c r="T24" i="1"/>
  <c r="T50" i="1" s="1"/>
  <c r="C11" i="1"/>
  <c r="P26" i="1"/>
  <c r="C15" i="1"/>
  <c r="P30" i="1"/>
  <c r="AC9" i="1"/>
  <c r="AC50" i="1" s="1"/>
  <c r="Y9" i="1"/>
  <c r="U9" i="1"/>
  <c r="U50" i="1" s="1"/>
  <c r="Q9" i="1"/>
  <c r="M9" i="1"/>
  <c r="M50" i="1" s="1"/>
  <c r="I9" i="1"/>
  <c r="C17" i="1"/>
  <c r="AD10" i="1"/>
  <c r="S32" i="1"/>
  <c r="T33" i="1" s="1"/>
  <c r="U34" i="1" s="1"/>
  <c r="AB9" i="1"/>
  <c r="AC10" i="1" s="1"/>
  <c r="AD11" i="1" s="1"/>
  <c r="X9" i="1"/>
  <c r="T9" i="1"/>
  <c r="P9" i="1"/>
  <c r="P50" i="1" s="1"/>
  <c r="L9" i="1"/>
  <c r="M10" i="1" s="1"/>
  <c r="H9" i="1"/>
  <c r="R27" i="1"/>
  <c r="S28" i="1" s="1"/>
  <c r="T29" i="1" s="1"/>
  <c r="U30" i="1" s="1"/>
  <c r="V31" i="1" s="1"/>
  <c r="W32" i="1" s="1"/>
  <c r="X33" i="1" s="1"/>
  <c r="Y34" i="1" s="1"/>
  <c r="Q31" i="1"/>
  <c r="R32" i="1" s="1"/>
  <c r="S33" i="1" s="1"/>
  <c r="T34" i="1" s="1"/>
  <c r="C13" i="1"/>
  <c r="Z10" i="1"/>
  <c r="R10" i="1"/>
  <c r="C16" i="1"/>
  <c r="E9" i="1"/>
  <c r="F10" i="1" s="1"/>
  <c r="AA9" i="1"/>
  <c r="AB10" i="1" s="1"/>
  <c r="AC11" i="1" s="1"/>
  <c r="AD12" i="1" s="1"/>
  <c r="W9" i="1"/>
  <c r="Q27" i="1"/>
  <c r="R28" i="1" s="1"/>
  <c r="S29" i="1" s="1"/>
  <c r="T30" i="1" s="1"/>
  <c r="U31" i="1" s="1"/>
  <c r="V32" i="1" s="1"/>
  <c r="W33" i="1" s="1"/>
  <c r="X34" i="1" s="1"/>
  <c r="AC28" i="1"/>
  <c r="Q28" i="1"/>
  <c r="R29" i="1" s="1"/>
  <c r="S30" i="1" s="1"/>
  <c r="T31" i="1" s="1"/>
  <c r="U32" i="1" s="1"/>
  <c r="V33" i="1" s="1"/>
  <c r="Q32" i="1"/>
  <c r="R33" i="1" s="1"/>
  <c r="S34" i="1" s="1"/>
  <c r="S25" i="1"/>
  <c r="AA25" i="1"/>
  <c r="AB25" i="1"/>
  <c r="U25" i="1"/>
  <c r="V25" i="1"/>
  <c r="AD25" i="1"/>
  <c r="W25" i="1"/>
  <c r="F9" i="1"/>
  <c r="V9" i="1"/>
  <c r="Z9" i="1"/>
  <c r="Z50" i="1" s="1"/>
  <c r="AD9" i="1"/>
  <c r="S9" i="1"/>
  <c r="T10" i="1" s="1"/>
  <c r="O9" i="1"/>
  <c r="K9" i="1"/>
  <c r="G9" i="1"/>
  <c r="R9" i="1"/>
  <c r="N9" i="1"/>
  <c r="J9" i="1"/>
  <c r="Y10" i="1"/>
  <c r="U10" i="1"/>
  <c r="Q10" i="1"/>
  <c r="R11" i="1" s="1"/>
  <c r="S12" i="1" s="1"/>
  <c r="I10" i="1"/>
  <c r="AA10" i="1"/>
  <c r="AB11" i="1" s="1"/>
  <c r="AC12" i="1" s="1"/>
  <c r="AD13" i="1" s="1"/>
  <c r="K11" i="1" l="1"/>
  <c r="J51" i="1"/>
  <c r="N11" i="1"/>
  <c r="M51" i="1"/>
  <c r="K10" i="1"/>
  <c r="J50" i="1"/>
  <c r="S11" i="1"/>
  <c r="R51" i="1"/>
  <c r="AB50" i="1"/>
  <c r="V11" i="1"/>
  <c r="W12" i="1" s="1"/>
  <c r="X13" i="1" s="1"/>
  <c r="Y14" i="1" s="1"/>
  <c r="Z15" i="1" s="1"/>
  <c r="AA16" i="1" s="1"/>
  <c r="AB17" i="1" s="1"/>
  <c r="AC18" i="1" s="1"/>
  <c r="G11" i="1"/>
  <c r="H12" i="1" s="1"/>
  <c r="I13" i="1" s="1"/>
  <c r="J14" i="1" s="1"/>
  <c r="AA51" i="1"/>
  <c r="P10" i="1"/>
  <c r="O50" i="1"/>
  <c r="AD51" i="1"/>
  <c r="AA11" i="1"/>
  <c r="Z51" i="1"/>
  <c r="J11" i="1"/>
  <c r="Z11" i="1"/>
  <c r="AA12" i="1" s="1"/>
  <c r="AB13" i="1" s="1"/>
  <c r="AC14" i="1" s="1"/>
  <c r="AD15" i="1" s="1"/>
  <c r="S10" i="1"/>
  <c r="T11" i="1" s="1"/>
  <c r="U12" i="1" s="1"/>
  <c r="V13" i="1" s="1"/>
  <c r="W14" i="1" s="1"/>
  <c r="X15" i="1" s="1"/>
  <c r="Y16" i="1" s="1"/>
  <c r="Z17" i="1" s="1"/>
  <c r="AA18" i="1" s="1"/>
  <c r="R50" i="1"/>
  <c r="F20" i="1"/>
  <c r="X25" i="1"/>
  <c r="Y26" i="1" s="1"/>
  <c r="L10" i="1"/>
  <c r="M11" i="1" s="1"/>
  <c r="K50" i="1"/>
  <c r="O10" i="1"/>
  <c r="N50" i="1"/>
  <c r="W10" i="1"/>
  <c r="X11" i="1" s="1"/>
  <c r="Y12" i="1" s="1"/>
  <c r="V50" i="1"/>
  <c r="Q50" i="1"/>
  <c r="U11" i="1"/>
  <c r="V12" i="1" s="1"/>
  <c r="W13" i="1" s="1"/>
  <c r="X14" i="1" s="1"/>
  <c r="Y15" i="1" s="1"/>
  <c r="Z16" i="1" s="1"/>
  <c r="AA17" i="1" s="1"/>
  <c r="AB18" i="1" s="1"/>
  <c r="N10" i="1"/>
  <c r="AC25" i="1"/>
  <c r="H10" i="1"/>
  <c r="I11" i="1" s="1"/>
  <c r="J12" i="1" s="1"/>
  <c r="J53" i="1" s="1"/>
  <c r="E20" i="1"/>
  <c r="AD50" i="1"/>
  <c r="Y25" i="1"/>
  <c r="T25" i="1"/>
  <c r="T51" i="1" s="1"/>
  <c r="W34" i="1"/>
  <c r="X10" i="1"/>
  <c r="Y11" i="1" s="1"/>
  <c r="Z12" i="1" s="1"/>
  <c r="AA13" i="1" s="1"/>
  <c r="AB14" i="1" s="1"/>
  <c r="AC15" i="1" s="1"/>
  <c r="AD16" i="1" s="1"/>
  <c r="C19" i="1"/>
  <c r="V10" i="1"/>
  <c r="W11" i="1" s="1"/>
  <c r="X12" i="1" s="1"/>
  <c r="Y13" i="1" s="1"/>
  <c r="Z14" i="1" s="1"/>
  <c r="Y50" i="1"/>
  <c r="AA50" i="1"/>
  <c r="Q34" i="1"/>
  <c r="Z26" i="1"/>
  <c r="Y51" i="1"/>
  <c r="V26" i="1"/>
  <c r="U51" i="1"/>
  <c r="AD29" i="1"/>
  <c r="W26" i="1"/>
  <c r="AC26" i="1"/>
  <c r="AB51" i="1"/>
  <c r="T26" i="1"/>
  <c r="T52" i="1" s="1"/>
  <c r="S51" i="1"/>
  <c r="U26" i="1"/>
  <c r="AB26" i="1"/>
  <c r="AB52" i="1" s="1"/>
  <c r="X51" i="1"/>
  <c r="U28" i="1"/>
  <c r="AD26" i="1"/>
  <c r="AD52" i="1" s="1"/>
  <c r="AC51" i="1"/>
  <c r="Z13" i="1"/>
  <c r="AA14" i="1" s="1"/>
  <c r="AB15" i="1" s="1"/>
  <c r="AC16" i="1" s="1"/>
  <c r="AD17" i="1" s="1"/>
  <c r="T13" i="1"/>
  <c r="U14" i="1" s="1"/>
  <c r="V15" i="1" s="1"/>
  <c r="W16" i="1" s="1"/>
  <c r="X17" i="1" s="1"/>
  <c r="Y18" i="1" s="1"/>
  <c r="Z19" i="1" s="1"/>
  <c r="Q25" i="1"/>
  <c r="Q51" i="1" s="1"/>
  <c r="P35" i="1"/>
  <c r="X26" i="1"/>
  <c r="X52" i="1" s="1"/>
  <c r="U27" i="1"/>
  <c r="U53" i="1" s="1"/>
  <c r="G10" i="1"/>
  <c r="H11" i="1" s="1"/>
  <c r="I12" i="1" s="1"/>
  <c r="J13" i="1" s="1"/>
  <c r="K15" i="1" l="1"/>
  <c r="J55" i="1"/>
  <c r="AA15" i="1"/>
  <c r="AB16" i="1" s="1"/>
  <c r="AC17" i="1" s="1"/>
  <c r="AD18" i="1" s="1"/>
  <c r="K14" i="1"/>
  <c r="J54" i="1"/>
  <c r="V51" i="1"/>
  <c r="K12" i="1"/>
  <c r="K20" i="1" s="1"/>
  <c r="K61" i="1" s="1"/>
  <c r="J52" i="1"/>
  <c r="AD19" i="1"/>
  <c r="W51" i="1"/>
  <c r="O12" i="1"/>
  <c r="N52" i="1"/>
  <c r="P11" i="1"/>
  <c r="O51" i="1"/>
  <c r="K13" i="1"/>
  <c r="O11" i="1"/>
  <c r="N51" i="1"/>
  <c r="N12" i="1"/>
  <c r="M52" i="1"/>
  <c r="Q11" i="1"/>
  <c r="P51" i="1"/>
  <c r="S52" i="1"/>
  <c r="T12" i="1"/>
  <c r="AC19" i="1"/>
  <c r="AB19" i="1"/>
  <c r="AA52" i="1"/>
  <c r="AB12" i="1"/>
  <c r="L11" i="1"/>
  <c r="K51" i="1"/>
  <c r="L12" i="1"/>
  <c r="M13" i="1" s="1"/>
  <c r="K52" i="1"/>
  <c r="Z27" i="1"/>
  <c r="Y52" i="1"/>
  <c r="X27" i="1"/>
  <c r="W52" i="1"/>
  <c r="AC27" i="1"/>
  <c r="AC53" i="1" s="1"/>
  <c r="V29" i="1"/>
  <c r="W27" i="1"/>
  <c r="V52" i="1"/>
  <c r="V27" i="1"/>
  <c r="U52" i="1"/>
  <c r="AD27" i="1"/>
  <c r="AD53" i="1" s="1"/>
  <c r="AC52" i="1"/>
  <c r="AA27" i="1"/>
  <c r="Z52" i="1"/>
  <c r="G20" i="1"/>
  <c r="J20" i="1"/>
  <c r="J61" i="1" s="1"/>
  <c r="I20" i="1"/>
  <c r="H20" i="1"/>
  <c r="R26" i="1"/>
  <c r="R52" i="1" s="1"/>
  <c r="Q35" i="1"/>
  <c r="Y27" i="1"/>
  <c r="Y53" i="1" s="1"/>
  <c r="V28" i="1"/>
  <c r="V54" i="1" s="1"/>
  <c r="AD28" i="1"/>
  <c r="AD54" i="1" s="1"/>
  <c r="Q12" i="1" l="1"/>
  <c r="P52" i="1"/>
  <c r="N14" i="1"/>
  <c r="M54" i="1"/>
  <c r="R12" i="1"/>
  <c r="Q52" i="1"/>
  <c r="O52" i="1"/>
  <c r="P12" i="1"/>
  <c r="AB53" i="1"/>
  <c r="AC13" i="1"/>
  <c r="K53" i="1"/>
  <c r="L13" i="1"/>
  <c r="M14" i="1" s="1"/>
  <c r="AB20" i="1"/>
  <c r="U13" i="1"/>
  <c r="T53" i="1"/>
  <c r="L14" i="1"/>
  <c r="M15" i="1" s="1"/>
  <c r="K54" i="1"/>
  <c r="O53" i="1"/>
  <c r="P13" i="1"/>
  <c r="M12" i="1"/>
  <c r="N53" i="1"/>
  <c r="O13" i="1"/>
  <c r="L15" i="1"/>
  <c r="M16" i="1" s="1"/>
  <c r="K55" i="1"/>
  <c r="L16" i="1"/>
  <c r="M17" i="1" s="1"/>
  <c r="K56" i="1"/>
  <c r="W30" i="1"/>
  <c r="X28" i="1"/>
  <c r="W53" i="1"/>
  <c r="Y28" i="1"/>
  <c r="X53" i="1"/>
  <c r="AB28" i="1"/>
  <c r="AA53" i="1"/>
  <c r="W28" i="1"/>
  <c r="V53" i="1"/>
  <c r="AA28" i="1"/>
  <c r="Z53" i="1"/>
  <c r="S27" i="1"/>
  <c r="S53" i="1" s="1"/>
  <c r="R35" i="1"/>
  <c r="W29" i="1"/>
  <c r="W55" i="1" s="1"/>
  <c r="Z28" i="1"/>
  <c r="Z54" i="1" s="1"/>
  <c r="O15" i="1" l="1"/>
  <c r="N55" i="1"/>
  <c r="AD14" i="1"/>
  <c r="AC54" i="1"/>
  <c r="AC20" i="1"/>
  <c r="M53" i="1"/>
  <c r="M20" i="1"/>
  <c r="M61" i="1" s="1"/>
  <c r="N13" i="1"/>
  <c r="S13" i="1"/>
  <c r="R53" i="1"/>
  <c r="R13" i="1"/>
  <c r="Q53" i="1"/>
  <c r="N18" i="1"/>
  <c r="M58" i="1"/>
  <c r="Q14" i="1"/>
  <c r="P54" i="1"/>
  <c r="L20" i="1"/>
  <c r="V14" i="1"/>
  <c r="U54" i="1"/>
  <c r="N17" i="1"/>
  <c r="M57" i="1"/>
  <c r="P14" i="1"/>
  <c r="O54" i="1"/>
  <c r="N16" i="1"/>
  <c r="M56" i="1"/>
  <c r="N15" i="1"/>
  <c r="M55" i="1"/>
  <c r="Q13" i="1"/>
  <c r="P53" i="1"/>
  <c r="AB29" i="1"/>
  <c r="AA54" i="1"/>
  <c r="AC29" i="1"/>
  <c r="AB54" i="1"/>
  <c r="Y29" i="1"/>
  <c r="X54" i="1"/>
  <c r="X29" i="1"/>
  <c r="W54" i="1"/>
  <c r="Z29" i="1"/>
  <c r="Y54" i="1"/>
  <c r="X31" i="1"/>
  <c r="T28" i="1"/>
  <c r="T54" i="1" s="1"/>
  <c r="S35" i="1"/>
  <c r="AA29" i="1"/>
  <c r="AA55" i="1" s="1"/>
  <c r="X30" i="1"/>
  <c r="X56" i="1" s="1"/>
  <c r="R14" i="1" l="1"/>
  <c r="Q54" i="1"/>
  <c r="O17" i="1"/>
  <c r="N57" i="1"/>
  <c r="W15" i="1"/>
  <c r="V55" i="1"/>
  <c r="R15" i="1"/>
  <c r="Q55" i="1"/>
  <c r="T14" i="1"/>
  <c r="S54" i="1"/>
  <c r="O18" i="1"/>
  <c r="N58" i="1"/>
  <c r="S14" i="1"/>
  <c r="R54" i="1"/>
  <c r="O14" i="1"/>
  <c r="N54" i="1"/>
  <c r="N20" i="1"/>
  <c r="N61" i="1" s="1"/>
  <c r="O16" i="1"/>
  <c r="N56" i="1"/>
  <c r="O19" i="1"/>
  <c r="O60" i="1" s="1"/>
  <c r="N59" i="1"/>
  <c r="AD20" i="1"/>
  <c r="AD55" i="1"/>
  <c r="Q15" i="1"/>
  <c r="P55" i="1"/>
  <c r="P16" i="1"/>
  <c r="O56" i="1"/>
  <c r="Y32" i="1"/>
  <c r="AD30" i="1"/>
  <c r="AD56" i="1" s="1"/>
  <c r="AC55" i="1"/>
  <c r="Y30" i="1"/>
  <c r="X55" i="1"/>
  <c r="AA30" i="1"/>
  <c r="Z55" i="1"/>
  <c r="Z30" i="1"/>
  <c r="Y55" i="1"/>
  <c r="AC30" i="1"/>
  <c r="AB55" i="1"/>
  <c r="U29" i="1"/>
  <c r="U55" i="1" s="1"/>
  <c r="T35" i="1"/>
  <c r="Y31" i="1"/>
  <c r="Y57" i="1" s="1"/>
  <c r="AB30" i="1"/>
  <c r="AB56" i="1" s="1"/>
  <c r="T15" i="1" l="1"/>
  <c r="S55" i="1"/>
  <c r="S16" i="1"/>
  <c r="R56" i="1"/>
  <c r="Q17" i="1"/>
  <c r="P57" i="1"/>
  <c r="P18" i="1"/>
  <c r="O58" i="1"/>
  <c r="R16" i="1"/>
  <c r="Q56" i="1"/>
  <c r="P15" i="1"/>
  <c r="O55" i="1"/>
  <c r="O20" i="1"/>
  <c r="O61" i="1" s="1"/>
  <c r="P19" i="1"/>
  <c r="O59" i="1"/>
  <c r="U15" i="1"/>
  <c r="T55" i="1"/>
  <c r="P17" i="1"/>
  <c r="O57" i="1"/>
  <c r="X16" i="1"/>
  <c r="W56" i="1"/>
  <c r="S15" i="1"/>
  <c r="R55" i="1"/>
  <c r="AD31" i="1"/>
  <c r="AD57" i="1" s="1"/>
  <c r="AC56" i="1"/>
  <c r="AB31" i="1"/>
  <c r="AA56" i="1"/>
  <c r="AA31" i="1"/>
  <c r="Z56" i="1"/>
  <c r="Z31" i="1"/>
  <c r="Y56" i="1"/>
  <c r="Z33" i="1"/>
  <c r="V30" i="1"/>
  <c r="V56" i="1" s="1"/>
  <c r="U35" i="1"/>
  <c r="AC31" i="1"/>
  <c r="AC57" i="1" s="1"/>
  <c r="Z32" i="1"/>
  <c r="Z58" i="1" s="1"/>
  <c r="Y17" i="1" l="1"/>
  <c r="X57" i="1"/>
  <c r="P20" i="1"/>
  <c r="P61" i="1" s="1"/>
  <c r="P60" i="1"/>
  <c r="Q18" i="1"/>
  <c r="P58" i="1"/>
  <c r="V16" i="1"/>
  <c r="U56" i="1"/>
  <c r="T16" i="1"/>
  <c r="S56" i="1"/>
  <c r="Q19" i="1"/>
  <c r="Q60" i="1" s="1"/>
  <c r="P59" i="1"/>
  <c r="T17" i="1"/>
  <c r="S57" i="1"/>
  <c r="Q16" i="1"/>
  <c r="P56" i="1"/>
  <c r="S17" i="1"/>
  <c r="R57" i="1"/>
  <c r="R18" i="1"/>
  <c r="Q58" i="1"/>
  <c r="U16" i="1"/>
  <c r="T56" i="1"/>
  <c r="AA32" i="1"/>
  <c r="Z57" i="1"/>
  <c r="AC32" i="1"/>
  <c r="AB57" i="1"/>
  <c r="AA34" i="1"/>
  <c r="AB32" i="1"/>
  <c r="AA57" i="1"/>
  <c r="W31" i="1"/>
  <c r="W57" i="1" s="1"/>
  <c r="V35" i="1"/>
  <c r="AA33" i="1"/>
  <c r="AA59" i="1" s="1"/>
  <c r="AD32" i="1"/>
  <c r="T18" i="1" l="1"/>
  <c r="S58" i="1"/>
  <c r="U17" i="1"/>
  <c r="T57" i="1"/>
  <c r="U18" i="1"/>
  <c r="T58" i="1"/>
  <c r="S19" i="1"/>
  <c r="S60" i="1" s="1"/>
  <c r="R59" i="1"/>
  <c r="R17" i="1"/>
  <c r="Q57" i="1"/>
  <c r="Q20" i="1"/>
  <c r="Q61" i="1" s="1"/>
  <c r="R19" i="1"/>
  <c r="R60" i="1" s="1"/>
  <c r="Q59" i="1"/>
  <c r="V17" i="1"/>
  <c r="U57" i="1"/>
  <c r="W17" i="1"/>
  <c r="V57" i="1"/>
  <c r="Z18" i="1"/>
  <c r="Y58" i="1"/>
  <c r="AD58" i="1"/>
  <c r="AC33" i="1"/>
  <c r="AB58" i="1"/>
  <c r="AD33" i="1"/>
  <c r="AD59" i="1" s="1"/>
  <c r="AC58" i="1"/>
  <c r="AB33" i="1"/>
  <c r="AA58" i="1"/>
  <c r="X32" i="1"/>
  <c r="X58" i="1" s="1"/>
  <c r="W35" i="1"/>
  <c r="AB34" i="1"/>
  <c r="AA35" i="1"/>
  <c r="V19" i="1" l="1"/>
  <c r="V60" i="1" s="1"/>
  <c r="U59" i="1"/>
  <c r="AA19" i="1"/>
  <c r="Z20" i="1"/>
  <c r="Z59" i="1"/>
  <c r="W18" i="1"/>
  <c r="V58" i="1"/>
  <c r="U19" i="1"/>
  <c r="U60" i="1" s="1"/>
  <c r="T59" i="1"/>
  <c r="X18" i="1"/>
  <c r="W58" i="1"/>
  <c r="S18" i="1"/>
  <c r="R58" i="1"/>
  <c r="R20" i="1"/>
  <c r="R61" i="1" s="1"/>
  <c r="V18" i="1"/>
  <c r="U58" i="1"/>
  <c r="U20" i="1"/>
  <c r="U61" i="1" s="1"/>
  <c r="AB35" i="1"/>
  <c r="AB61" i="1" s="1"/>
  <c r="AB60" i="1"/>
  <c r="AC34" i="1"/>
  <c r="AB59" i="1"/>
  <c r="AD34" i="1"/>
  <c r="AD60" i="1" s="1"/>
  <c r="AC59" i="1"/>
  <c r="AD35" i="1"/>
  <c r="AD61" i="1" s="1"/>
  <c r="Y33" i="1"/>
  <c r="Y59" i="1" s="1"/>
  <c r="X35" i="1"/>
  <c r="Y19" i="1" l="1"/>
  <c r="X59" i="1"/>
  <c r="AA20" i="1"/>
  <c r="AA61" i="1" s="1"/>
  <c r="AA60" i="1"/>
  <c r="T19" i="1"/>
  <c r="S59" i="1"/>
  <c r="S20" i="1"/>
  <c r="S61" i="1" s="1"/>
  <c r="W19" i="1"/>
  <c r="W60" i="1" s="1"/>
  <c r="V59" i="1"/>
  <c r="V20" i="1"/>
  <c r="V61" i="1" s="1"/>
  <c r="X19" i="1"/>
  <c r="X60" i="1" s="1"/>
  <c r="W59" i="1"/>
  <c r="AC60" i="1"/>
  <c r="AC35" i="1"/>
  <c r="AC61" i="1" s="1"/>
  <c r="Z34" i="1"/>
  <c r="Y35" i="1"/>
  <c r="X20" i="1" l="1"/>
  <c r="X61" i="1" s="1"/>
  <c r="T20" i="1"/>
  <c r="T61" i="1" s="1"/>
  <c r="T60" i="1"/>
  <c r="Y60" i="1"/>
  <c r="Y20" i="1"/>
  <c r="Y61" i="1" s="1"/>
  <c r="W20" i="1"/>
  <c r="W61" i="1" s="1"/>
  <c r="Z35" i="1"/>
  <c r="Z61" i="1" s="1"/>
  <c r="Z60" i="1"/>
</calcChain>
</file>

<file path=xl/sharedStrings.xml><?xml version="1.0" encoding="utf-8"?>
<sst xmlns="http://schemas.openxmlformats.org/spreadsheetml/2006/main" count="77" uniqueCount="34">
  <si>
    <t>New Car Sales</t>
  </si>
  <si>
    <t>EVs</t>
  </si>
  <si>
    <t>Total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</si>
  <si>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</si>
  <si>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</si>
  <si>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</si>
  <si>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</si>
  <si>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</si>
  <si>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</si>
  <si>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</si>
  <si>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</si>
  <si>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</si>
  <si>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</si>
  <si>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10+</t>
  </si>
  <si>
    <t>Churn</t>
  </si>
  <si>
    <t>Age (years)</t>
  </si>
  <si>
    <t>000s unless stated</t>
  </si>
  <si>
    <t>Closing EV Parc per ACEA</t>
  </si>
  <si>
    <t>Total Car Parc (closing)</t>
  </si>
  <si>
    <t>EV Car Parc (closing)</t>
  </si>
  <si>
    <t>EV share of Total Parc</t>
  </si>
  <si>
    <t>% of Parc</t>
  </si>
  <si>
    <t>Up to 1 year</t>
  </si>
  <si>
    <t>1-2 years</t>
  </si>
  <si>
    <t>2-3 years</t>
  </si>
  <si>
    <t>3-4 years</t>
  </si>
  <si>
    <t>4-5 years</t>
  </si>
  <si>
    <t>5-6 years</t>
  </si>
  <si>
    <t>6-7 years</t>
  </si>
  <si>
    <t>7-8 years</t>
  </si>
  <si>
    <t>8-9 years</t>
  </si>
  <si>
    <t>9-10 years</t>
  </si>
  <si>
    <t>10+ years</t>
  </si>
  <si>
    <t>Total 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</si>
</sst>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;\-_)"/>
    <numFmt numFmtId="165" formatCode="#,##0.0%_);\-#,##0.0%_);\-_)"/>
    <numFmt numFmtId="166" formatCode="#,##0,_);\(#,##0,\);\-_)"/>
    <numFmt numFmtId="167" formatCode="#,##0%_);\-#,##0%_);\-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166" fontId="1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2023</a:t>
            </a:r>
          </a:p>
        </c:rich>
      </c:tx>
      <c:layout>
        <c:manualLayout>
          <c:xMode val="edge"/>
          <c:yMode val="edge"/>
          <c:x val="0.52168338907469347"/>
          <c:y val="1.1138958507379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Sheet1!$Q$65:$Q$66</c:f>
              <c:strCache>
                <c:ptCount val="2"/>
                <c:pt idx="1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Sheet1!$Q$67:$Q$78</c:f>
              <c:numCache>
                <c:formatCode>#,##0,_);\(#,##0,\);\-_)</c:formatCode>
                <c:ptCount val="12"/>
                <c:pt idx="0">
                  <c:v>595463.73078469292</c:v>
                </c:pt>
                <c:pt idx="1">
                  <c:v>428682.19757975754</c:v>
                </c:pt>
                <c:pt idx="2">
                  <c:v>299772.15599012055</c:v>
                </c:pt>
                <c:pt idx="3">
                  <c:v>170252.06543806006</c:v>
                </c:pt>
                <c:pt idx="4">
                  <c:v>69590.330455304691</c:v>
                </c:pt>
                <c:pt idx="5">
                  <c:v>56848.562862908322</c:v>
                </c:pt>
                <c:pt idx="6">
                  <c:v>44390.282718848866</c:v>
                </c:pt>
                <c:pt idx="7">
                  <c:v>34236.688130153656</c:v>
                </c:pt>
                <c:pt idx="8">
                  <c:v>25715.832260610365</c:v>
                </c:pt>
                <c:pt idx="9">
                  <c:v>12957.20614562124</c:v>
                </c:pt>
                <c:pt idx="10">
                  <c:v>3129.2541153840843</c:v>
                </c:pt>
                <c:pt idx="11">
                  <c:v>1741038.306481462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E-4AA6-BD16-7696DCED5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Sheet1!$P$65:$P$66</c:f>
              <c:strCache>
                <c:ptCount val="2"/>
                <c:pt idx="1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Sheet1!$P$67:$P$78</c:f>
              <c:numCache>
                <c:formatCode>#,##0%_);\-#,##0%_);\-_)</c:formatCode>
                <c:ptCount val="12"/>
                <c:pt idx="0">
                  <c:v>0.29668152550767707</c:v>
                </c:pt>
                <c:pt idx="1">
                  <c:v>0.25145180023228808</c:v>
                </c:pt>
                <c:pt idx="2">
                  <c:v>0.18533543065394756</c:v>
                </c:pt>
                <c:pt idx="3">
                  <c:v>0.10587934088279986</c:v>
                </c:pt>
                <c:pt idx="4">
                  <c:v>3.1566090351948357E-2</c:v>
                </c:pt>
                <c:pt idx="5">
                  <c:v>2.5710872800425142E-2</c:v>
                </c:pt>
                <c:pt idx="6">
                  <c:v>1.9341148150740197E-2</c:v>
                </c:pt>
                <c:pt idx="7">
                  <c:v>1.393261985532422E-2</c:v>
                </c:pt>
                <c:pt idx="8">
                  <c:v>1.0828310850043498E-2</c:v>
                </c:pt>
                <c:pt idx="9">
                  <c:v>5.9341839437184749E-3</c:v>
                </c:pt>
                <c:pt idx="10">
                  <c:v>1.5950860128922395E-3</c:v>
                </c:pt>
                <c:pt idx="11">
                  <c:v>7.6949924034444867E-2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E-4AA6-BD16-7696DCED5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in val="-2000000"/>
        </c:scaling>
        <c:delete val="0"/>
        <c:axPos val="t"/>
        <c:numFmt formatCode="#,##0,_);\(#,##0,\);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#,##0%_);\-#,##0%_);\-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2024</a:t>
            </a:r>
          </a:p>
        </c:rich>
      </c:tx>
      <c:layout>
        <c:manualLayout>
          <c:xMode val="edge"/>
          <c:yMode val="edge"/>
          <c:x val="0.51891213389121338"/>
          <c:y val="1.1142061281337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Sheet1!$T$65:$T$66</c:f>
              <c:strCache>
                <c:ptCount val="2"/>
                <c:pt idx="1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Sheet1!$T$67:$T$78</c:f>
              <c:numCache>
                <c:formatCode>#,##0,_);\(#,##0,\);\-_)</c:formatCode>
                <c:ptCount val="12"/>
                <c:pt idx="0">
                  <c:v>646162.64609357319</c:v>
                </c:pt>
                <c:pt idx="1">
                  <c:v>593026.87378816342</c:v>
                </c:pt>
                <c:pt idx="2">
                  <c:v>425186.44640092965</c:v>
                </c:pt>
                <c:pt idx="3">
                  <c:v>296424.18850909616</c:v>
                </c:pt>
                <c:pt idx="4">
                  <c:v>168107.28193131642</c:v>
                </c:pt>
                <c:pt idx="5">
                  <c:v>68873.76419758203</c:v>
                </c:pt>
                <c:pt idx="6">
                  <c:v>56269.517973233924</c:v>
                </c:pt>
                <c:pt idx="7">
                  <c:v>43843.406158600068</c:v>
                </c:pt>
                <c:pt idx="8">
                  <c:v>33670.15117221322</c:v>
                </c:pt>
                <c:pt idx="9">
                  <c:v>25157.578649453884</c:v>
                </c:pt>
                <c:pt idx="10">
                  <c:v>12675.923897083183</c:v>
                </c:pt>
                <c:pt idx="11">
                  <c:v>2369397.7787712449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6-42AF-B73C-5932402B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Sheet1!$S$65:$S$66</c:f>
              <c:strCache>
                <c:ptCount val="2"/>
                <c:pt idx="1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Sheet1!$S$67:$S$78</c:f>
              <c:numCache>
                <c:formatCode>#,##0%_);\-#,##0%_);\-_)</c:formatCode>
                <c:ptCount val="12"/>
                <c:pt idx="0">
                  <c:v>0.28260869565217389</c:v>
                </c:pt>
                <c:pt idx="1">
                  <c:v>0.29668152550767707</c:v>
                </c:pt>
                <c:pt idx="2">
                  <c:v>0.25145180023228803</c:v>
                </c:pt>
                <c:pt idx="3">
                  <c:v>0.18533543065394756</c:v>
                </c:pt>
                <c:pt idx="4">
                  <c:v>0.10587934088279986</c:v>
                </c:pt>
                <c:pt idx="5">
                  <c:v>3.156609035194835E-2</c:v>
                </c:pt>
                <c:pt idx="6">
                  <c:v>2.5710872800425146E-2</c:v>
                </c:pt>
                <c:pt idx="7">
                  <c:v>1.9341148150740201E-2</c:v>
                </c:pt>
                <c:pt idx="8">
                  <c:v>1.3932619855324218E-2</c:v>
                </c:pt>
                <c:pt idx="9">
                  <c:v>1.0828310850043496E-2</c:v>
                </c:pt>
                <c:pt idx="10">
                  <c:v>5.9341839437184758E-3</c:v>
                </c:pt>
                <c:pt idx="11">
                  <c:v>0.10448618121901317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6-42AF-B73C-5932402B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ax val="2500000"/>
          <c:min val="-2500000"/>
        </c:scaling>
        <c:delete val="0"/>
        <c:axPos val="t"/>
        <c:numFmt formatCode="#,##0,_);\(#,##0,\);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#,##0%_);\-#,##0%_);\-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2025</a:t>
            </a:r>
          </a:p>
        </c:rich>
      </c:tx>
      <c:layout>
        <c:manualLayout>
          <c:xMode val="edge"/>
          <c:yMode val="edge"/>
          <c:x val="0.52171970965940817"/>
          <c:y val="1.1145165784341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Sheet1!$W$65:$W$66</c:f>
              <c:strCache>
                <c:ptCount val="2"/>
                <c:pt idx="1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Sheet1!$W$67:$W$78</c:f>
              <c:numCache>
                <c:formatCode>#,##0,_);\(#,##0,\);\-_)</c:formatCode>
                <c:ptCount val="12"/>
                <c:pt idx="0">
                  <c:v>795277.10288439784</c:v>
                </c:pt>
                <c:pt idx="1">
                  <c:v>643518.31045460131</c:v>
                </c:pt>
                <c:pt idx="2">
                  <c:v>588190.95010197896</c:v>
                </c:pt>
                <c:pt idx="3">
                  <c:v>420437.80524971627</c:v>
                </c:pt>
                <c:pt idx="4">
                  <c:v>292689.92714270187</c:v>
                </c:pt>
                <c:pt idx="5">
                  <c:v>166376.29423343763</c:v>
                </c:pt>
                <c:pt idx="6">
                  <c:v>68172.233689459536</c:v>
                </c:pt>
                <c:pt idx="7">
                  <c:v>55576.292371789546</c:v>
                </c:pt>
                <c:pt idx="8">
                  <c:v>43117.900529772509</c:v>
                </c:pt>
                <c:pt idx="9">
                  <c:v>32939.220775343907</c:v>
                </c:pt>
                <c:pt idx="10">
                  <c:v>24611.443918651381</c:v>
                </c:pt>
                <c:pt idx="11">
                  <c:v>3130907.481351851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8-44E4-9710-9AE920A22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Sheet1!$V$65:$V$66</c:f>
              <c:strCache>
                <c:ptCount val="2"/>
                <c:pt idx="1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Sheet1!$V$67:$V$78</c:f>
              <c:numCache>
                <c:formatCode>#,##0%_);\-#,##0%_);\-_)</c:formatCode>
                <c:ptCount val="12"/>
                <c:pt idx="0">
                  <c:v>0.34782608695652173</c:v>
                </c:pt>
                <c:pt idx="1">
                  <c:v>0.28260869565217389</c:v>
                </c:pt>
                <c:pt idx="2">
                  <c:v>0.29668152550767707</c:v>
                </c:pt>
                <c:pt idx="3">
                  <c:v>0.25145180023228803</c:v>
                </c:pt>
                <c:pt idx="4">
                  <c:v>0.18533543065394756</c:v>
                </c:pt>
                <c:pt idx="5">
                  <c:v>0.10587934088279985</c:v>
                </c:pt>
                <c:pt idx="6">
                  <c:v>3.156609035194835E-2</c:v>
                </c:pt>
                <c:pt idx="7">
                  <c:v>2.5710872800425149E-2</c:v>
                </c:pt>
                <c:pt idx="8">
                  <c:v>1.9341148150740197E-2</c:v>
                </c:pt>
                <c:pt idx="9">
                  <c:v>1.3932619855324218E-2</c:v>
                </c:pt>
                <c:pt idx="10">
                  <c:v>1.0828310850043496E-2</c:v>
                </c:pt>
                <c:pt idx="11">
                  <c:v>0.1388037336941787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8-44E4-9710-9AE920A22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ax val="3500000"/>
          <c:min val="-3500000"/>
        </c:scaling>
        <c:delete val="0"/>
        <c:axPos val="t"/>
        <c:numFmt formatCode="#,##0,_);\(#,##0,\);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#,##0%_);\-#,##0%_);\-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79</xdr:row>
      <xdr:rowOff>83819</xdr:rowOff>
    </xdr:from>
    <xdr:to>
      <xdr:col>17</xdr:col>
      <xdr:colOff>240030</xdr:colOff>
      <xdr:row>117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D62D6-C282-5E3A-D2E3-65AD56233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447675</xdr:colOff>
      <xdr:row>79</xdr:row>
      <xdr:rowOff>76200</xdr:rowOff>
    </xdr:from>
    <xdr:to>
      <xdr:col>24</xdr:col>
      <xdr:colOff>333375</xdr:colOff>
      <xdr:row>117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58B49C-457D-4F2B-B02E-97E3F9949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609600</xdr:colOff>
      <xdr:row>79</xdr:row>
      <xdr:rowOff>76200</xdr:rowOff>
    </xdr:from>
    <xdr:to>
      <xdr:col>31</xdr:col>
      <xdr:colOff>262890</xdr:colOff>
      <xdr:row>117</xdr:row>
      <xdr:rowOff>36195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A54781-0C8F-435D-8D3F-02289499E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067B-7ADF-4AC0-954E-002E092E3640}">
  <dimension ref="A2:AD78"/>
  <sheetViews>
    <sheetView showGridLines="0" tabSelected="1" workbookViewId="0">
      <selection activeCell="A5" sqref="A5:A6"/>
    </sheetView>
  </sheetViews>
  <sheetFormatPr defaultColWidth="8.89453125" defaultRowHeight="14.4" x14ac:dyDescent="0.55000000000000004"/>
  <cols>
    <col min="1" max="1" width="13.20703125" style="3" bestFit="1" customWidth="1"/>
    <col min="2" max="3" width="13.20703125" style="3" customWidth="1"/>
    <col min="4" max="4" width="10.68359375" style="3" bestFit="1" customWidth="1"/>
    <col min="5" max="9" width="9.68359375" style="3" bestFit="1" customWidth="1"/>
    <col min="10" max="11" width="10.5234375" style="3" bestFit="1" customWidth="1"/>
    <col min="12" max="12" width="9.68359375" style="3" bestFit="1" customWidth="1"/>
    <col min="13" max="15" width="10.5234375" style="3" bestFit="1" customWidth="1"/>
    <col min="16" max="25" width="9.68359375" style="3" bestFit="1" customWidth="1"/>
    <col min="26" max="30" width="10.5234375" style="3" bestFit="1" customWidth="1"/>
    <col min="31" max="16384" width="8.89453125" style="3"/>
  </cols>
  <sheetData>
    <row r="2" spans="1:30" ht="14.7" thickBot="1" x14ac:dyDescent="0.6">
      <c r="A2" s="1" t="s">
        <v>16</v>
      </c>
      <c r="B2" s="1"/>
      <c r="C2" s="2" t="s">
        <v>14</v>
      </c>
      <c r="D2" s="2" t="s">
        <v>15</v>
      </c>
      <c r="E2" s="2">
        <v>2010</v>
      </c>
      <c r="F2" s="2">
        <v>2011</v>
      </c>
      <c r="G2" s="2">
        <v>2012</v>
      </c>
      <c r="H2" s="2">
        <v>2013</v>
      </c>
      <c r="I2" s="2">
        <v>2014</v>
      </c>
      <c r="J2" s="2">
        <v>2015</v>
      </c>
      <c r="K2" s="2">
        <v>2016</v>
      </c>
      <c r="L2" s="2">
        <v>2017</v>
      </c>
      <c r="M2" s="2">
        <v>2018</v>
      </c>
      <c r="N2" s="2">
        <v>2019</v>
      </c>
      <c r="O2" s="2">
        <v>2020</v>
      </c>
      <c r="P2" s="2">
        <v>2021</v>
      </c>
      <c r="Q2" s="2">
        <v>2022</v>
      </c>
      <c r="R2" s="2">
        <v>2023</v>
      </c>
      <c r="S2" s="2">
        <v>2024</v>
      </c>
      <c r="T2" s="2">
        <v>2025</v>
      </c>
      <c r="U2" s="2">
        <v>2026</v>
      </c>
      <c r="V2" s="2">
        <v>2027</v>
      </c>
      <c r="W2" s="2">
        <v>2028</v>
      </c>
      <c r="X2" s="2">
        <v>2029</v>
      </c>
      <c r="Y2" s="2">
        <v>2030</v>
      </c>
      <c r="Z2" s="2">
        <v>2031</v>
      </c>
      <c r="AA2" s="2">
        <v>2032</v>
      </c>
      <c r="AB2" s="2">
        <v>2033</v>
      </c>
      <c r="AC2" s="2">
        <v>2034</v>
      </c>
      <c r="AD2" s="2">
        <v>2035</v>
      </c>
    </row>
    <row r="3" spans="1:30" hidden="1" x14ac:dyDescent="0.55000000000000004">
      <c r="E3" s="3">
        <v>138</v>
      </c>
      <c r="F3" s="3">
        <v>1082</v>
      </c>
      <c r="G3" s="3">
        <v>1262</v>
      </c>
      <c r="H3" s="3">
        <v>2512</v>
      </c>
      <c r="I3" s="3">
        <v>6697</v>
      </c>
      <c r="J3" s="3">
        <v>9934</v>
      </c>
      <c r="K3" s="3">
        <v>10264</v>
      </c>
      <c r="L3" s="3">
        <v>13597</v>
      </c>
      <c r="M3" s="3">
        <v>15474</v>
      </c>
      <c r="N3" s="3">
        <v>37850</v>
      </c>
      <c r="O3" s="3">
        <v>108205</v>
      </c>
      <c r="P3" s="3">
        <v>190727</v>
      </c>
      <c r="Q3" s="3">
        <v>289000</v>
      </c>
      <c r="R3" s="3">
        <v>412000</v>
      </c>
      <c r="S3" s="3">
        <v>450000</v>
      </c>
      <c r="T3" s="3">
        <v>575000</v>
      </c>
      <c r="U3" s="3">
        <v>700000</v>
      </c>
      <c r="V3" s="3">
        <v>850000</v>
      </c>
      <c r="W3" s="3">
        <v>1000000</v>
      </c>
      <c r="X3" s="3">
        <v>1200000</v>
      </c>
      <c r="Y3" s="3">
        <v>1425000</v>
      </c>
      <c r="Z3" s="3">
        <v>1575000</v>
      </c>
      <c r="AA3" s="3">
        <v>1700000</v>
      </c>
      <c r="AB3" s="3">
        <v>1825000</v>
      </c>
      <c r="AC3" s="3">
        <v>1950000</v>
      </c>
      <c r="AD3" s="3">
        <v>2150000</v>
      </c>
    </row>
    <row r="4" spans="1:30" hidden="1" x14ac:dyDescent="0.55000000000000004">
      <c r="E4" s="3">
        <v>111</v>
      </c>
      <c r="F4" s="3">
        <v>1056</v>
      </c>
      <c r="G4" s="3">
        <v>992</v>
      </c>
      <c r="H4" s="3">
        <v>1072</v>
      </c>
      <c r="I4" s="3">
        <v>7821</v>
      </c>
      <c r="J4" s="3">
        <v>18254</v>
      </c>
      <c r="K4" s="3">
        <v>26643</v>
      </c>
      <c r="L4" s="3">
        <v>33666</v>
      </c>
      <c r="M4" s="3">
        <v>44437</v>
      </c>
      <c r="N4" s="3">
        <v>34734</v>
      </c>
      <c r="O4" s="3">
        <v>67134</v>
      </c>
      <c r="P4" s="3">
        <v>114554</v>
      </c>
      <c r="Q4" s="3">
        <v>144000</v>
      </c>
      <c r="R4" s="3">
        <v>187000</v>
      </c>
      <c r="S4" s="3">
        <v>200000</v>
      </c>
      <c r="T4" s="3">
        <v>225000</v>
      </c>
      <c r="U4" s="3">
        <v>225000</v>
      </c>
      <c r="V4" s="3">
        <v>250000</v>
      </c>
      <c r="W4" s="3">
        <v>275000</v>
      </c>
      <c r="X4" s="3">
        <v>325000</v>
      </c>
      <c r="Y4" s="3">
        <v>325000</v>
      </c>
      <c r="Z4" s="3">
        <v>350000</v>
      </c>
      <c r="AA4" s="3">
        <v>300000</v>
      </c>
      <c r="AB4" s="3">
        <v>250000</v>
      </c>
      <c r="AC4" s="3">
        <v>150000</v>
      </c>
      <c r="AD4" s="3">
        <v>0</v>
      </c>
    </row>
    <row r="5" spans="1:30" ht="15.9" thickTop="1" x14ac:dyDescent="0.55000000000000004">
      <c r="A5" s="14" t="s">
        <v>0</v>
      </c>
      <c r="B5" s="3" t="s">
        <v>1</v>
      </c>
      <c r="E5" s="4">
        <f t="shared" ref="E5:AD5" si="0">SUM(E3:E4)</f>
        <v>249</v>
      </c>
      <c r="F5" s="4">
        <f t="shared" si="0"/>
        <v>2138</v>
      </c>
      <c r="G5" s="4">
        <f t="shared" si="0"/>
        <v>2254</v>
      </c>
      <c r="H5" s="4">
        <f t="shared" si="0"/>
        <v>3584</v>
      </c>
      <c r="I5" s="4">
        <f t="shared" si="0"/>
        <v>14518</v>
      </c>
      <c r="J5" s="4">
        <f t="shared" si="0"/>
        <v>28188</v>
      </c>
      <c r="K5" s="4">
        <f t="shared" si="0"/>
        <v>36907</v>
      </c>
      <c r="L5" s="4">
        <f t="shared" si="0"/>
        <v>47263</v>
      </c>
      <c r="M5" s="4">
        <f t="shared" si="0"/>
        <v>59911</v>
      </c>
      <c r="N5" s="4">
        <f t="shared" si="0"/>
        <v>72584</v>
      </c>
      <c r="O5" s="4">
        <f t="shared" si="0"/>
        <v>175339</v>
      </c>
      <c r="P5" s="4">
        <f t="shared" si="0"/>
        <v>305281</v>
      </c>
      <c r="Q5" s="4">
        <f t="shared" si="0"/>
        <v>433000</v>
      </c>
      <c r="R5" s="4">
        <f t="shared" si="0"/>
        <v>599000</v>
      </c>
      <c r="S5" s="4">
        <f t="shared" si="0"/>
        <v>650000</v>
      </c>
      <c r="T5" s="4">
        <f t="shared" si="0"/>
        <v>800000</v>
      </c>
      <c r="U5" s="4">
        <f t="shared" si="0"/>
        <v>925000</v>
      </c>
      <c r="V5" s="4">
        <f t="shared" si="0"/>
        <v>1100000</v>
      </c>
      <c r="W5" s="4">
        <f t="shared" si="0"/>
        <v>1275000</v>
      </c>
      <c r="X5" s="4">
        <f t="shared" si="0"/>
        <v>1525000</v>
      </c>
      <c r="Y5" s="4">
        <f t="shared" si="0"/>
        <v>1750000</v>
      </c>
      <c r="Z5" s="4">
        <f t="shared" si="0"/>
        <v>1925000</v>
      </c>
      <c r="AA5" s="4">
        <f t="shared" si="0"/>
        <v>2000000</v>
      </c>
      <c r="AB5" s="4">
        <f t="shared" si="0"/>
        <v>2075000</v>
      </c>
      <c r="AC5" s="4">
        <f t="shared" si="0"/>
        <v>2100000</v>
      </c>
      <c r="AD5" s="4">
        <f t="shared" si="0"/>
        <v>2150000</v>
      </c>
    </row>
    <row r="6" spans="1:30" ht="15.6" x14ac:dyDescent="0.55000000000000004">
      <c r="A6" s="14"/>
      <c r="B6" s="3" t="s">
        <v>2</v>
      </c>
      <c r="E6" s="4">
        <v>2030846</v>
      </c>
      <c r="F6" s="4">
        <v>1941253</v>
      </c>
      <c r="G6" s="4">
        <v>2044609</v>
      </c>
      <c r="H6" s="4">
        <v>2264737</v>
      </c>
      <c r="I6" s="4">
        <v>2476435</v>
      </c>
      <c r="J6" s="4">
        <v>2633503</v>
      </c>
      <c r="K6" s="4">
        <v>2692786</v>
      </c>
      <c r="L6" s="4">
        <v>2540617</v>
      </c>
      <c r="M6" s="4">
        <v>2367147</v>
      </c>
      <c r="N6" s="4">
        <v>2311140</v>
      </c>
      <c r="O6" s="4">
        <v>1631064</v>
      </c>
      <c r="P6" s="4">
        <v>1647181</v>
      </c>
      <c r="Q6" s="4">
        <v>1722000</v>
      </c>
      <c r="R6" s="4">
        <v>2019000</v>
      </c>
      <c r="S6" s="4">
        <v>2300000</v>
      </c>
      <c r="T6" s="4">
        <v>2300000</v>
      </c>
      <c r="U6" s="4">
        <v>2300000</v>
      </c>
      <c r="V6" s="4">
        <v>2300000</v>
      </c>
      <c r="W6" s="4">
        <v>2200000</v>
      </c>
      <c r="X6" s="4">
        <v>2100000</v>
      </c>
      <c r="Y6" s="4">
        <v>2000000</v>
      </c>
      <c r="Z6" s="4">
        <v>2100000</v>
      </c>
      <c r="AA6" s="4">
        <v>2150000</v>
      </c>
      <c r="AB6" s="4">
        <v>2175000</v>
      </c>
      <c r="AC6" s="4">
        <v>2150000</v>
      </c>
      <c r="AD6" s="4">
        <v>2150000</v>
      </c>
    </row>
    <row r="7" spans="1:30" ht="15.6" x14ac:dyDescent="0.55000000000000004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9">
        <f t="shared" ref="R7" si="1">R5/R6</f>
        <v>0.29668152550767707</v>
      </c>
      <c r="S7" s="9">
        <f>S5/S6</f>
        <v>0.28260869565217389</v>
      </c>
      <c r="T7" s="9">
        <f t="shared" ref="T7" si="2">T5/T6</f>
        <v>0.34782608695652173</v>
      </c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6" x14ac:dyDescent="0.55000000000000004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6" x14ac:dyDescent="0.55000000000000004">
      <c r="A9" s="3" t="s">
        <v>19</v>
      </c>
      <c r="C9" s="10">
        <f>C24</f>
        <v>5.9036213945027338E-3</v>
      </c>
      <c r="D9" s="6" t="s">
        <v>3</v>
      </c>
      <c r="E9" s="4">
        <f>E$5*(1-$C9)</f>
        <v>247.52999827276881</v>
      </c>
      <c r="F9" s="4">
        <f t="shared" ref="F9:AD9" si="3">F$5*(1-$C9)</f>
        <v>2125.378057458553</v>
      </c>
      <c r="G9" s="4">
        <f t="shared" si="3"/>
        <v>2240.6932373767909</v>
      </c>
      <c r="H9" s="4">
        <f t="shared" si="3"/>
        <v>3562.8414209221023</v>
      </c>
      <c r="I9" s="4">
        <f t="shared" si="3"/>
        <v>14432.29122459461</v>
      </c>
      <c r="J9" s="4">
        <f t="shared" si="3"/>
        <v>28021.588720131756</v>
      </c>
      <c r="K9" s="4">
        <f t="shared" si="3"/>
        <v>36689.115045193088</v>
      </c>
      <c r="L9" s="4">
        <f t="shared" si="3"/>
        <v>46983.977142031617</v>
      </c>
      <c r="M9" s="4">
        <f t="shared" si="3"/>
        <v>59557.308138633947</v>
      </c>
      <c r="N9" s="4">
        <f t="shared" si="3"/>
        <v>72155.491544701406</v>
      </c>
      <c r="O9" s="4">
        <f t="shared" si="3"/>
        <v>174303.86492830928</v>
      </c>
      <c r="P9" s="4">
        <f t="shared" si="3"/>
        <v>303478.73655706481</v>
      </c>
      <c r="Q9" s="4">
        <f t="shared" si="3"/>
        <v>430443.73193618032</v>
      </c>
      <c r="R9" s="4">
        <f t="shared" si="3"/>
        <v>595463.73078469292</v>
      </c>
      <c r="S9" s="4">
        <f t="shared" si="3"/>
        <v>646162.64609357319</v>
      </c>
      <c r="T9" s="4">
        <f t="shared" si="3"/>
        <v>795277.10288439784</v>
      </c>
      <c r="U9" s="4">
        <f t="shared" si="3"/>
        <v>919539.15021008498</v>
      </c>
      <c r="V9" s="4">
        <f t="shared" si="3"/>
        <v>1093506.0164660469</v>
      </c>
      <c r="W9" s="4">
        <f t="shared" si="3"/>
        <v>1267472.882722009</v>
      </c>
      <c r="X9" s="4">
        <f t="shared" si="3"/>
        <v>1515996.9773733832</v>
      </c>
      <c r="Y9" s="4">
        <f t="shared" si="3"/>
        <v>1739668.6625596201</v>
      </c>
      <c r="Z9" s="4">
        <f t="shared" si="3"/>
        <v>1913635.5288155822</v>
      </c>
      <c r="AA9" s="4">
        <f t="shared" si="3"/>
        <v>1988192.7572109946</v>
      </c>
      <c r="AB9" s="4">
        <f t="shared" si="3"/>
        <v>2062749.9856064068</v>
      </c>
      <c r="AC9" s="4">
        <f t="shared" si="3"/>
        <v>2087602.3950715442</v>
      </c>
      <c r="AD9" s="4">
        <f t="shared" si="3"/>
        <v>2137307.214001819</v>
      </c>
    </row>
    <row r="10" spans="1:30" ht="15.6" x14ac:dyDescent="0.55000000000000004">
      <c r="C10" s="10">
        <f t="shared" ref="C10:C19" si="4">C25</f>
        <v>4.092368469391372E-3</v>
      </c>
      <c r="D10" s="6" t="s">
        <v>4</v>
      </c>
      <c r="E10" s="4">
        <v>0</v>
      </c>
      <c r="F10" s="4">
        <f>E9*(1-$C10)</f>
        <v>246.51701431260881</v>
      </c>
      <c r="G10" s="4">
        <f t="shared" ref="G10:AD19" si="5">F9*(1-$C10)</f>
        <v>2116.6802273106732</v>
      </c>
      <c r="H10" s="4">
        <f t="shared" si="5"/>
        <v>2231.5234950225713</v>
      </c>
      <c r="I10" s="4">
        <f t="shared" si="5"/>
        <v>3548.260961029679</v>
      </c>
      <c r="J10" s="4">
        <f t="shared" si="5"/>
        <v>14373.228971046005</v>
      </c>
      <c r="K10" s="4">
        <f t="shared" si="5"/>
        <v>27906.914053991233</v>
      </c>
      <c r="L10" s="4">
        <f t="shared" si="5"/>
        <v>36538.969667612262</v>
      </c>
      <c r="M10" s="4">
        <f t="shared" si="5"/>
        <v>46791.701395408956</v>
      </c>
      <c r="N10" s="4">
        <f t="shared" si="5"/>
        <v>59313.577688685575</v>
      </c>
      <c r="O10" s="4">
        <f t="shared" si="5"/>
        <v>71860.204686210433</v>
      </c>
      <c r="P10" s="4">
        <f t="shared" si="5"/>
        <v>173590.54928738362</v>
      </c>
      <c r="Q10" s="4">
        <f t="shared" si="5"/>
        <v>302236.78974444792</v>
      </c>
      <c r="R10" s="4">
        <f t="shared" si="5"/>
        <v>428682.19757975754</v>
      </c>
      <c r="S10" s="4">
        <f t="shared" si="5"/>
        <v>593026.87378816342</v>
      </c>
      <c r="T10" s="4">
        <f t="shared" si="5"/>
        <v>643518.31045460131</v>
      </c>
      <c r="U10" s="4">
        <f t="shared" si="5"/>
        <v>792022.5359441248</v>
      </c>
      <c r="V10" s="4">
        <f t="shared" si="5"/>
        <v>915776.05718539422</v>
      </c>
      <c r="W10" s="4">
        <f t="shared" si="5"/>
        <v>1089030.9869231714</v>
      </c>
      <c r="X10" s="4">
        <f t="shared" si="5"/>
        <v>1262285.9166609487</v>
      </c>
      <c r="Y10" s="4">
        <f t="shared" si="5"/>
        <v>1509792.9591434877</v>
      </c>
      <c r="Z10" s="4">
        <f t="shared" si="5"/>
        <v>1732549.2973777729</v>
      </c>
      <c r="AA10" s="4">
        <f t="shared" si="5"/>
        <v>1905804.2271155501</v>
      </c>
      <c r="AB10" s="4">
        <f t="shared" si="5"/>
        <v>1980056.3398603119</v>
      </c>
      <c r="AC10" s="4">
        <f t="shared" si="5"/>
        <v>2054308.4526050736</v>
      </c>
      <c r="AD10" s="4">
        <f t="shared" si="5"/>
        <v>2079059.1568533273</v>
      </c>
    </row>
    <row r="11" spans="1:30" ht="15.6" x14ac:dyDescent="0.55000000000000004">
      <c r="C11" s="10">
        <f t="shared" si="4"/>
        <v>8.1546450927145742E-3</v>
      </c>
      <c r="D11" s="6" t="s">
        <v>5</v>
      </c>
      <c r="E11" s="4">
        <v>0</v>
      </c>
      <c r="F11" s="4">
        <v>0</v>
      </c>
      <c r="G11" s="4">
        <f t="shared" si="5"/>
        <v>244.50675555157383</v>
      </c>
      <c r="H11" s="4">
        <f t="shared" si="5"/>
        <v>2099.4194512821882</v>
      </c>
      <c r="I11" s="4">
        <f t="shared" si="5"/>
        <v>2213.3262129046084</v>
      </c>
      <c r="J11" s="4">
        <f t="shared" si="5"/>
        <v>3519.3261521961476</v>
      </c>
      <c r="K11" s="4">
        <f t="shared" si="5"/>
        <v>14256.020389950801</v>
      </c>
      <c r="L11" s="4">
        <f t="shared" si="5"/>
        <v>27679.343074248045</v>
      </c>
      <c r="M11" s="4">
        <f t="shared" si="5"/>
        <v>36241.007337919422</v>
      </c>
      <c r="N11" s="4">
        <f t="shared" si="5"/>
        <v>46410.131677245117</v>
      </c>
      <c r="O11" s="4">
        <f t="shared" si="5"/>
        <v>58829.896513455191</v>
      </c>
      <c r="P11" s="4">
        <f t="shared" si="5"/>
        <v>71274.210220704568</v>
      </c>
      <c r="Q11" s="4">
        <f t="shared" si="5"/>
        <v>172174.97996649562</v>
      </c>
      <c r="R11" s="4">
        <f t="shared" si="5"/>
        <v>299772.15599012055</v>
      </c>
      <c r="S11" s="4">
        <f t="shared" si="5"/>
        <v>425186.44640092965</v>
      </c>
      <c r="T11" s="4">
        <f t="shared" si="5"/>
        <v>588190.95010197896</v>
      </c>
      <c r="U11" s="4">
        <f t="shared" si="5"/>
        <v>638270.64702218072</v>
      </c>
      <c r="V11" s="4">
        <f t="shared" si="5"/>
        <v>785563.87325806869</v>
      </c>
      <c r="W11" s="4">
        <f t="shared" si="5"/>
        <v>908308.22845464188</v>
      </c>
      <c r="X11" s="4">
        <f t="shared" si="5"/>
        <v>1080150.3257298444</v>
      </c>
      <c r="Y11" s="4">
        <f t="shared" si="5"/>
        <v>1251992.4230050468</v>
      </c>
      <c r="Z11" s="4">
        <f t="shared" si="5"/>
        <v>1497481.1333981932</v>
      </c>
      <c r="AA11" s="4">
        <f t="shared" si="5"/>
        <v>1718420.9727520251</v>
      </c>
      <c r="AB11" s="4">
        <f t="shared" si="5"/>
        <v>1890263.0700272275</v>
      </c>
      <c r="AC11" s="4">
        <f t="shared" si="5"/>
        <v>1963909.6831451717</v>
      </c>
      <c r="AD11" s="4">
        <f t="shared" si="5"/>
        <v>2037556.2962631155</v>
      </c>
    </row>
    <row r="12" spans="1:30" ht="15.6" x14ac:dyDescent="0.55000000000000004">
      <c r="C12" s="10">
        <f t="shared" si="4"/>
        <v>1.1168373760285843E-2</v>
      </c>
      <c r="D12" s="6" t="s">
        <v>6</v>
      </c>
      <c r="E12" s="4">
        <v>0</v>
      </c>
      <c r="F12" s="4">
        <v>0</v>
      </c>
      <c r="G12" s="4">
        <v>0</v>
      </c>
      <c r="H12" s="4">
        <f t="shared" si="5"/>
        <v>241.77601271865899</v>
      </c>
      <c r="I12" s="4">
        <f t="shared" si="5"/>
        <v>2075.9723501706544</v>
      </c>
      <c r="J12" s="4">
        <f t="shared" si="5"/>
        <v>2188.6069585054515</v>
      </c>
      <c r="K12" s="4">
        <f t="shared" si="5"/>
        <v>3480.0210023440723</v>
      </c>
      <c r="L12" s="4">
        <f t="shared" si="5"/>
        <v>14096.803825901574</v>
      </c>
      <c r="M12" s="4">
        <f t="shared" si="5"/>
        <v>27370.209825355661</v>
      </c>
      <c r="N12" s="4">
        <f t="shared" si="5"/>
        <v>35836.254222520271</v>
      </c>
      <c r="O12" s="4">
        <f t="shared" si="5"/>
        <v>45891.805980409561</v>
      </c>
      <c r="P12" s="4">
        <f t="shared" si="5"/>
        <v>58172.862240913986</v>
      </c>
      <c r="Q12" s="4">
        <f t="shared" si="5"/>
        <v>70478.193201490547</v>
      </c>
      <c r="R12" s="4">
        <f t="shared" si="5"/>
        <v>170252.06543806006</v>
      </c>
      <c r="S12" s="4">
        <f t="shared" si="5"/>
        <v>296424.18850909616</v>
      </c>
      <c r="T12" s="4">
        <f t="shared" si="5"/>
        <v>420437.80524971627</v>
      </c>
      <c r="U12" s="4">
        <f t="shared" si="5"/>
        <v>581621.8137288224</v>
      </c>
      <c r="V12" s="4">
        <f t="shared" si="5"/>
        <v>631142.2018760175</v>
      </c>
      <c r="W12" s="4">
        <f t="shared" si="5"/>
        <v>776790.40230894473</v>
      </c>
      <c r="X12" s="4">
        <f t="shared" si="5"/>
        <v>898163.90266971732</v>
      </c>
      <c r="Y12" s="4">
        <f t="shared" si="5"/>
        <v>1068086.8031747988</v>
      </c>
      <c r="Z12" s="4">
        <f t="shared" si="5"/>
        <v>1238009.7036798804</v>
      </c>
      <c r="AA12" s="4">
        <f t="shared" si="5"/>
        <v>1480756.7044014256</v>
      </c>
      <c r="AB12" s="4">
        <f t="shared" si="5"/>
        <v>1699229.0050508163</v>
      </c>
      <c r="AC12" s="4">
        <f t="shared" si="5"/>
        <v>1869151.9055558979</v>
      </c>
      <c r="AD12" s="4">
        <f t="shared" si="5"/>
        <v>1941976.0057723618</v>
      </c>
    </row>
    <row r="13" spans="1:30" ht="15.6" x14ac:dyDescent="0.55000000000000004">
      <c r="C13" s="10">
        <f t="shared" si="4"/>
        <v>1.2597694490372846E-2</v>
      </c>
      <c r="D13" s="6" t="s">
        <v>7</v>
      </c>
      <c r="E13" s="4">
        <v>0</v>
      </c>
      <c r="F13" s="4">
        <v>0</v>
      </c>
      <c r="G13" s="4">
        <v>0</v>
      </c>
      <c r="H13" s="4">
        <v>0</v>
      </c>
      <c r="I13" s="4">
        <f t="shared" si="5"/>
        <v>238.73019237532881</v>
      </c>
      <c r="J13" s="4">
        <f t="shared" si="5"/>
        <v>2049.819884732743</v>
      </c>
      <c r="K13" s="4">
        <f t="shared" si="5"/>
        <v>2161.0355566826956</v>
      </c>
      <c r="L13" s="4">
        <f t="shared" si="5"/>
        <v>3436.1807609364605</v>
      </c>
      <c r="M13" s="4">
        <f t="shared" si="5"/>
        <v>13919.216598012146</v>
      </c>
      <c r="N13" s="4">
        <f t="shared" si="5"/>
        <v>27025.408283838431</v>
      </c>
      <c r="O13" s="4">
        <f t="shared" si="5"/>
        <v>35384.800040145623</v>
      </c>
      <c r="P13" s="4">
        <f t="shared" si="5"/>
        <v>45313.675029056896</v>
      </c>
      <c r="Q13" s="4">
        <f t="shared" si="5"/>
        <v>57440.018294772402</v>
      </c>
      <c r="R13" s="4">
        <f t="shared" si="5"/>
        <v>69590.330455304691</v>
      </c>
      <c r="S13" s="4">
        <f t="shared" si="5"/>
        <v>168107.28193131642</v>
      </c>
      <c r="T13" s="4">
        <f t="shared" si="5"/>
        <v>292689.92714270187</v>
      </c>
      <c r="U13" s="4">
        <f t="shared" si="5"/>
        <v>415141.25822697749</v>
      </c>
      <c r="V13" s="4">
        <f t="shared" si="5"/>
        <v>574294.71981053019</v>
      </c>
      <c r="W13" s="4">
        <f t="shared" si="5"/>
        <v>623191.26523680217</v>
      </c>
      <c r="X13" s="4">
        <f t="shared" si="5"/>
        <v>767004.63413760287</v>
      </c>
      <c r="Y13" s="4">
        <f t="shared" si="5"/>
        <v>886849.10822160321</v>
      </c>
      <c r="Z13" s="4">
        <f t="shared" si="5"/>
        <v>1054631.3719392037</v>
      </c>
      <c r="AA13" s="4">
        <f t="shared" si="5"/>
        <v>1222413.6356568043</v>
      </c>
      <c r="AB13" s="4">
        <f t="shared" si="5"/>
        <v>1462102.583824805</v>
      </c>
      <c r="AC13" s="4">
        <f t="shared" si="5"/>
        <v>1677822.6371760059</v>
      </c>
      <c r="AD13" s="4">
        <f t="shared" si="5"/>
        <v>1845604.9008936065</v>
      </c>
    </row>
    <row r="14" spans="1:30" ht="15.6" x14ac:dyDescent="0.55000000000000004">
      <c r="C14" s="10">
        <f t="shared" si="4"/>
        <v>1.0296922762608296E-2</v>
      </c>
      <c r="D14" s="6" t="s">
        <v>8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f t="shared" si="5"/>
        <v>236.27200602333744</v>
      </c>
      <c r="K14" s="4">
        <f t="shared" si="5"/>
        <v>2028.7130477023913</v>
      </c>
      <c r="L14" s="4">
        <f t="shared" si="5"/>
        <v>2138.7835404682837</v>
      </c>
      <c r="M14" s="4">
        <f t="shared" si="5"/>
        <v>3400.7986730427374</v>
      </c>
      <c r="N14" s="4">
        <f t="shared" si="5"/>
        <v>13775.891499786399</v>
      </c>
      <c r="O14" s="4">
        <f t="shared" si="5"/>
        <v>26747.129742111792</v>
      </c>
      <c r="P14" s="4">
        <f t="shared" si="5"/>
        <v>35020.445487161902</v>
      </c>
      <c r="Q14" s="4">
        <f t="shared" si="5"/>
        <v>44847.083617192766</v>
      </c>
      <c r="R14" s="4">
        <f t="shared" si="5"/>
        <v>56848.562862908322</v>
      </c>
      <c r="S14" s="4">
        <f t="shared" si="5"/>
        <v>68873.76419758203</v>
      </c>
      <c r="T14" s="4">
        <f t="shared" si="5"/>
        <v>166376.29423343763</v>
      </c>
      <c r="U14" s="4">
        <f t="shared" si="5"/>
        <v>289676.12156952004</v>
      </c>
      <c r="V14" s="4">
        <f t="shared" si="5"/>
        <v>410866.58075544226</v>
      </c>
      <c r="W14" s="4">
        <f t="shared" si="5"/>
        <v>568381.25143766741</v>
      </c>
      <c r="X14" s="4">
        <f t="shared" si="5"/>
        <v>616774.31291232666</v>
      </c>
      <c r="Y14" s="4">
        <f t="shared" si="5"/>
        <v>759106.84666132531</v>
      </c>
      <c r="Z14" s="4">
        <f t="shared" si="5"/>
        <v>877717.29145215731</v>
      </c>
      <c r="AA14" s="4">
        <f t="shared" si="5"/>
        <v>1043771.914159322</v>
      </c>
      <c r="AB14" s="4">
        <f t="shared" si="5"/>
        <v>1209826.536866487</v>
      </c>
      <c r="AC14" s="4">
        <f t="shared" si="5"/>
        <v>1447047.426448151</v>
      </c>
      <c r="AD14" s="4">
        <f t="shared" si="5"/>
        <v>1660546.2270716487</v>
      </c>
    </row>
    <row r="15" spans="1:30" ht="15.6" x14ac:dyDescent="0.55000000000000004">
      <c r="C15" s="10">
        <f t="shared" si="4"/>
        <v>1.0185743676067616E-2</v>
      </c>
      <c r="D15" s="6" t="s">
        <v>9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f t="shared" si="5"/>
        <v>233.86539993215342</v>
      </c>
      <c r="L15" s="4">
        <f t="shared" si="5"/>
        <v>2008.0490966062009</v>
      </c>
      <c r="M15" s="4">
        <f t="shared" si="5"/>
        <v>2116.9984395464812</v>
      </c>
      <c r="N15" s="4">
        <f t="shared" si="5"/>
        <v>3366.1590094652133</v>
      </c>
      <c r="O15" s="4">
        <f t="shared" si="5"/>
        <v>13635.573800060256</v>
      </c>
      <c r="P15" s="4">
        <f t="shared" si="5"/>
        <v>26474.690334488118</v>
      </c>
      <c r="Q15" s="4">
        <f t="shared" si="5"/>
        <v>34663.736206007969</v>
      </c>
      <c r="R15" s="4">
        <f t="shared" si="5"/>
        <v>44390.282718848866</v>
      </c>
      <c r="S15" s="4">
        <f t="shared" si="5"/>
        <v>56269.517973233924</v>
      </c>
      <c r="T15" s="4">
        <f t="shared" si="5"/>
        <v>68172.233689459536</v>
      </c>
      <c r="U15" s="4">
        <f t="shared" si="5"/>
        <v>164681.62794660183</v>
      </c>
      <c r="V15" s="4">
        <f t="shared" si="5"/>
        <v>286725.55484613549</v>
      </c>
      <c r="W15" s="4">
        <f t="shared" si="5"/>
        <v>406681.59907880501</v>
      </c>
      <c r="X15" s="4">
        <f t="shared" si="5"/>
        <v>562591.86570024083</v>
      </c>
      <c r="Y15" s="4">
        <f t="shared" si="5"/>
        <v>610492.00785501895</v>
      </c>
      <c r="Z15" s="4">
        <f t="shared" si="5"/>
        <v>751374.77889848512</v>
      </c>
      <c r="AA15" s="4">
        <f t="shared" si="5"/>
        <v>868777.08810137329</v>
      </c>
      <c r="AB15" s="4">
        <f t="shared" si="5"/>
        <v>1033140.3209854168</v>
      </c>
      <c r="AC15" s="4">
        <f t="shared" si="5"/>
        <v>1197503.5538694605</v>
      </c>
      <c r="AD15" s="4">
        <f t="shared" si="5"/>
        <v>1432308.1722752368</v>
      </c>
    </row>
    <row r="16" spans="1:30" ht="15.6" x14ac:dyDescent="0.55000000000000004">
      <c r="C16" s="10">
        <f t="shared" si="4"/>
        <v>1.2319735914107732E-2</v>
      </c>
      <c r="D16" s="6" t="s">
        <v>10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f t="shared" si="5"/>
        <v>230.98423996554212</v>
      </c>
      <c r="M16" s="4">
        <f t="shared" si="5"/>
        <v>1983.31046203345</v>
      </c>
      <c r="N16" s="4">
        <f t="shared" si="5"/>
        <v>2090.9175778406902</v>
      </c>
      <c r="O16" s="4">
        <f t="shared" si="5"/>
        <v>3324.6888194237076</v>
      </c>
      <c r="P16" s="4">
        <f t="shared" si="5"/>
        <v>13467.587131806187</v>
      </c>
      <c r="Q16" s="4">
        <f t="shared" si="5"/>
        <v>26148.529141159444</v>
      </c>
      <c r="R16" s="4">
        <f t="shared" si="5"/>
        <v>34236.688130153656</v>
      </c>
      <c r="S16" s="4">
        <f t="shared" si="5"/>
        <v>43843.406158600068</v>
      </c>
      <c r="T16" s="4">
        <f t="shared" si="5"/>
        <v>55576.292371789546</v>
      </c>
      <c r="U16" s="4">
        <f t="shared" si="5"/>
        <v>67332.369773730563</v>
      </c>
      <c r="V16" s="4">
        <f t="shared" si="5"/>
        <v>162652.79378039436</v>
      </c>
      <c r="W16" s="4">
        <f t="shared" si="5"/>
        <v>283193.17173060507</v>
      </c>
      <c r="X16" s="4">
        <f t="shared" si="5"/>
        <v>401671.3891770271</v>
      </c>
      <c r="Y16" s="4">
        <f t="shared" si="5"/>
        <v>555660.88248738868</v>
      </c>
      <c r="Z16" s="4">
        <f t="shared" si="5"/>
        <v>602970.90754057176</v>
      </c>
      <c r="AA16" s="4">
        <f t="shared" si="5"/>
        <v>742118.04004993464</v>
      </c>
      <c r="AB16" s="4">
        <f t="shared" si="5"/>
        <v>858073.98380773689</v>
      </c>
      <c r="AC16" s="4">
        <f t="shared" si="5"/>
        <v>1020412.3050686599</v>
      </c>
      <c r="AD16" s="4">
        <f t="shared" si="5"/>
        <v>1182750.6263295833</v>
      </c>
    </row>
    <row r="17" spans="1:30" ht="15.6" x14ac:dyDescent="0.55000000000000004">
      <c r="C17" s="10">
        <f t="shared" si="4"/>
        <v>1.6547656589524506E-2</v>
      </c>
      <c r="D17" s="6" t="s">
        <v>11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f t="shared" si="5"/>
        <v>227.16199208500001</v>
      </c>
      <c r="N17" s="4">
        <f t="shared" si="5"/>
        <v>1950.4913215973093</v>
      </c>
      <c r="O17" s="4">
        <f t="shared" si="5"/>
        <v>2056.3177918055821</v>
      </c>
      <c r="P17" s="4">
        <f t="shared" si="5"/>
        <v>3269.6730105728525</v>
      </c>
      <c r="Q17" s="4">
        <f t="shared" si="5"/>
        <v>13244.73012485956</v>
      </c>
      <c r="R17" s="4">
        <f t="shared" si="5"/>
        <v>25715.832260610365</v>
      </c>
      <c r="S17" s="4">
        <f t="shared" si="5"/>
        <v>33670.15117221322</v>
      </c>
      <c r="T17" s="4">
        <f t="shared" si="5"/>
        <v>43117.900529772509</v>
      </c>
      <c r="U17" s="4">
        <f t="shared" si="5"/>
        <v>54656.634971102161</v>
      </c>
      <c r="V17" s="4">
        <f t="shared" si="5"/>
        <v>66218.176841355991</v>
      </c>
      <c r="W17" s="4">
        <f t="shared" si="5"/>
        <v>159961.27120558964</v>
      </c>
      <c r="X17" s="4">
        <f t="shared" si="5"/>
        <v>278506.98837630876</v>
      </c>
      <c r="Y17" s="4">
        <f t="shared" si="5"/>
        <v>395024.66896708839</v>
      </c>
      <c r="Z17" s="4">
        <f t="shared" si="5"/>
        <v>546465.99702375522</v>
      </c>
      <c r="AA17" s="4">
        <f t="shared" si="5"/>
        <v>592993.15202911641</v>
      </c>
      <c r="AB17" s="4">
        <f t="shared" si="5"/>
        <v>729837.72557429736</v>
      </c>
      <c r="AC17" s="4">
        <f t="shared" si="5"/>
        <v>843874.87019528123</v>
      </c>
      <c r="AD17" s="4">
        <f t="shared" si="5"/>
        <v>1003526.8726646586</v>
      </c>
    </row>
    <row r="18" spans="1:30" ht="15.6" x14ac:dyDescent="0.55000000000000004">
      <c r="C18" s="10">
        <f t="shared" si="4"/>
        <v>2.1708557028176423E-2</v>
      </c>
      <c r="D18" s="6" t="s">
        <v>12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f t="shared" si="5"/>
        <v>222.23063302518864</v>
      </c>
      <c r="O18" s="4">
        <f t="shared" si="5"/>
        <v>1908.1489695094508</v>
      </c>
      <c r="P18" s="4">
        <f t="shared" si="5"/>
        <v>2011.6780997541168</v>
      </c>
      <c r="Q18" s="4">
        <f t="shared" si="5"/>
        <v>3198.6931275593424</v>
      </c>
      <c r="R18" s="4">
        <f t="shared" si="5"/>
        <v>12957.20614562124</v>
      </c>
      <c r="S18" s="4">
        <f t="shared" si="5"/>
        <v>25157.578649453884</v>
      </c>
      <c r="T18" s="4">
        <f t="shared" si="5"/>
        <v>32939.220775343907</v>
      </c>
      <c r="U18" s="4">
        <f t="shared" si="5"/>
        <v>42181.873127186707</v>
      </c>
      <c r="V18" s="4">
        <f t="shared" si="5"/>
        <v>53470.118293863765</v>
      </c>
      <c r="W18" s="4">
        <f t="shared" si="5"/>
        <v>64780.675773093542</v>
      </c>
      <c r="X18" s="4">
        <f t="shared" si="5"/>
        <v>156488.7428273235</v>
      </c>
      <c r="Y18" s="4">
        <f t="shared" si="5"/>
        <v>272461.00353639596</v>
      </c>
      <c r="Z18" s="4">
        <f t="shared" si="5"/>
        <v>386449.25341327983</v>
      </c>
      <c r="AA18" s="4">
        <f t="shared" si="5"/>
        <v>534603.00876340573</v>
      </c>
      <c r="AB18" s="4">
        <f t="shared" si="5"/>
        <v>580120.12637097423</v>
      </c>
      <c r="AC18" s="4">
        <f t="shared" si="5"/>
        <v>713994.00168735313</v>
      </c>
      <c r="AD18" s="4">
        <f t="shared" si="5"/>
        <v>825555.56445100193</v>
      </c>
    </row>
    <row r="19" spans="1:30" ht="15.6" x14ac:dyDescent="0.55000000000000004">
      <c r="C19" s="10">
        <f t="shared" si="4"/>
        <v>2.1708557028176423E-2</v>
      </c>
      <c r="D19" s="6" t="s">
        <v>13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f t="shared" si="5"/>
        <v>217.40632665475357</v>
      </c>
      <c r="P19" s="4">
        <f t="shared" si="5"/>
        <v>1866.7258087865989</v>
      </c>
      <c r="Q19" s="4">
        <f t="shared" si="5"/>
        <v>1968.0074710032709</v>
      </c>
      <c r="R19" s="4">
        <f t="shared" si="5"/>
        <v>3129.2541153840843</v>
      </c>
      <c r="S19" s="4">
        <f t="shared" si="5"/>
        <v>12675.923897083183</v>
      </c>
      <c r="T19" s="4">
        <f t="shared" si="5"/>
        <v>24611.443918651381</v>
      </c>
      <c r="U19" s="4">
        <f t="shared" si="5"/>
        <v>32224.157822678659</v>
      </c>
      <c r="V19" s="4">
        <f t="shared" si="5"/>
        <v>41266.165528849873</v>
      </c>
      <c r="W19" s="4">
        <f t="shared" si="5"/>
        <v>52309.359181578082</v>
      </c>
      <c r="X19" s="4">
        <f t="shared" si="5"/>
        <v>63374.380778749532</v>
      </c>
      <c r="Y19" s="4">
        <f t="shared" si="5"/>
        <v>153091.5980293889</v>
      </c>
      <c r="Z19" s="4">
        <f t="shared" si="5"/>
        <v>266546.26830317191</v>
      </c>
      <c r="AA19" s="4">
        <f t="shared" si="5"/>
        <v>378059.99775706144</v>
      </c>
      <c r="AB19" s="4">
        <f t="shared" si="5"/>
        <v>522997.54886023066</v>
      </c>
      <c r="AC19" s="4">
        <f t="shared" si="5"/>
        <v>567526.55552445701</v>
      </c>
      <c r="AD19" s="4">
        <f t="shared" si="5"/>
        <v>698494.22218394733</v>
      </c>
    </row>
    <row r="20" spans="1:30" ht="15.6" x14ac:dyDescent="0.55000000000000004">
      <c r="D20" s="3" t="s">
        <v>2</v>
      </c>
      <c r="E20" s="4">
        <f>SUM(E9:E19)</f>
        <v>247.52999827276881</v>
      </c>
      <c r="F20" s="4">
        <f t="shared" ref="F20:AD20" si="6">SUM(F9:F19)</f>
        <v>2371.8950717711618</v>
      </c>
      <c r="G20" s="4">
        <f t="shared" si="6"/>
        <v>4601.880220239037</v>
      </c>
      <c r="H20" s="4">
        <f t="shared" si="6"/>
        <v>8135.5603799455221</v>
      </c>
      <c r="I20" s="4">
        <f t="shared" si="6"/>
        <v>22508.580941074881</v>
      </c>
      <c r="J20" s="4">
        <f t="shared" si="6"/>
        <v>50388.842692635444</v>
      </c>
      <c r="K20" s="4">
        <f t="shared" si="6"/>
        <v>86755.684495796435</v>
      </c>
      <c r="L20" s="4">
        <f t="shared" si="6"/>
        <v>133113.09134776998</v>
      </c>
      <c r="M20" s="4">
        <f t="shared" si="6"/>
        <v>191607.71286203782</v>
      </c>
      <c r="N20" s="4">
        <f t="shared" si="6"/>
        <v>262146.5534587056</v>
      </c>
      <c r="O20" s="4">
        <f t="shared" si="6"/>
        <v>434159.83759809571</v>
      </c>
      <c r="P20" s="4">
        <f t="shared" si="6"/>
        <v>733940.83320769377</v>
      </c>
      <c r="Q20" s="4">
        <f t="shared" si="6"/>
        <v>1156844.4928311692</v>
      </c>
      <c r="R20" s="4">
        <f t="shared" si="6"/>
        <v>1741038.306481462</v>
      </c>
      <c r="S20" s="4">
        <f t="shared" si="6"/>
        <v>2369397.7787712449</v>
      </c>
      <c r="T20" s="4">
        <f t="shared" si="6"/>
        <v>3130907.481351851</v>
      </c>
      <c r="U20" s="4">
        <f t="shared" si="6"/>
        <v>3997348.1903430102</v>
      </c>
      <c r="V20" s="4">
        <f t="shared" si="6"/>
        <v>5021482.2586420979</v>
      </c>
      <c r="W20" s="4">
        <f t="shared" si="6"/>
        <v>6200101.094052908</v>
      </c>
      <c r="X20" s="4">
        <f t="shared" si="6"/>
        <v>7603009.4363434725</v>
      </c>
      <c r="Y20" s="4">
        <f t="shared" si="6"/>
        <v>9202226.963641163</v>
      </c>
      <c r="Z20" s="4">
        <f t="shared" si="6"/>
        <v>10867831.531842055</v>
      </c>
      <c r="AA20" s="4">
        <f t="shared" si="6"/>
        <v>12475911.497997014</v>
      </c>
      <c r="AB20" s="4">
        <f t="shared" si="6"/>
        <v>14028397.226834711</v>
      </c>
      <c r="AC20" s="4">
        <f t="shared" si="6"/>
        <v>15443153.786347056</v>
      </c>
      <c r="AD20" s="4">
        <f t="shared" si="6"/>
        <v>16844685.258760307</v>
      </c>
    </row>
    <row r="21" spans="1:30" ht="15.6" x14ac:dyDescent="0.55000000000000004">
      <c r="C21" s="3" t="s">
        <v>17</v>
      </c>
      <c r="D21" s="7"/>
      <c r="E21" s="4"/>
      <c r="F21" s="4"/>
      <c r="G21" s="4"/>
      <c r="H21" s="4"/>
      <c r="I21" s="4"/>
      <c r="J21" s="4">
        <f>0.4%*J35</f>
        <v>134169.79200000002</v>
      </c>
      <c r="K21" s="4">
        <f>0.2%*K35</f>
        <v>68756.771999999997</v>
      </c>
      <c r="L21" s="4"/>
      <c r="M21" s="4">
        <f>0.4%*M35</f>
        <v>139551.66</v>
      </c>
      <c r="N21" s="4">
        <f>0.7%*N35</f>
        <v>246177.81299999997</v>
      </c>
      <c r="O21" s="4">
        <f>1.1%*O35</f>
        <v>401001.31500000006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6" x14ac:dyDescent="0.55000000000000004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6" x14ac:dyDescent="0.55000000000000004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6" x14ac:dyDescent="0.55000000000000004">
      <c r="A24" s="3" t="s">
        <v>18</v>
      </c>
      <c r="C24" s="5">
        <f>AVERAGE(J37:N37)</f>
        <v>5.9036213945027338E-3</v>
      </c>
      <c r="D24" s="6" t="s">
        <v>3</v>
      </c>
      <c r="E24" s="4"/>
      <c r="F24" s="4"/>
      <c r="G24" s="4"/>
      <c r="H24" s="4"/>
      <c r="I24" s="4"/>
      <c r="J24" s="4">
        <v>2622550</v>
      </c>
      <c r="K24" s="4">
        <v>2679763</v>
      </c>
      <c r="L24" s="4"/>
      <c r="M24" s="4">
        <v>2347530</v>
      </c>
      <c r="N24" s="4">
        <v>2296506</v>
      </c>
      <c r="O24" s="4">
        <v>1646250</v>
      </c>
      <c r="P24" s="4">
        <f>P$6*(1-$C24)</f>
        <v>1637456.6670077816</v>
      </c>
      <c r="Q24" s="4">
        <f t="shared" ref="Q24:AD24" si="7">Q$6*(1-$C24)</f>
        <v>1711833.9639586662</v>
      </c>
      <c r="R24" s="4">
        <f t="shared" si="7"/>
        <v>2007080.588404499</v>
      </c>
      <c r="S24" s="4">
        <f t="shared" si="7"/>
        <v>2286421.6707926439</v>
      </c>
      <c r="T24" s="4">
        <f t="shared" si="7"/>
        <v>2286421.6707926439</v>
      </c>
      <c r="U24" s="4">
        <f t="shared" si="7"/>
        <v>2286421.6707926439</v>
      </c>
      <c r="V24" s="4">
        <f t="shared" si="7"/>
        <v>2286421.6707926439</v>
      </c>
      <c r="W24" s="4">
        <f t="shared" si="7"/>
        <v>2187012.0329320938</v>
      </c>
      <c r="X24" s="4">
        <f t="shared" si="7"/>
        <v>2087602.3950715442</v>
      </c>
      <c r="Y24" s="4">
        <f t="shared" si="7"/>
        <v>1988192.7572109946</v>
      </c>
      <c r="Z24" s="4">
        <f t="shared" si="7"/>
        <v>2087602.3950715442</v>
      </c>
      <c r="AA24" s="4">
        <f t="shared" si="7"/>
        <v>2137307.214001819</v>
      </c>
      <c r="AB24" s="4">
        <f t="shared" si="7"/>
        <v>2162159.6234669564</v>
      </c>
      <c r="AC24" s="4">
        <f t="shared" si="7"/>
        <v>2137307.214001819</v>
      </c>
      <c r="AD24" s="4">
        <f t="shared" si="7"/>
        <v>2137307.214001819</v>
      </c>
    </row>
    <row r="25" spans="1:30" ht="15.6" x14ac:dyDescent="0.55000000000000004">
      <c r="C25" s="5">
        <f t="shared" ref="C25:C33" si="8">AVERAGE(J38:N38)</f>
        <v>4.092368469391372E-3</v>
      </c>
      <c r="D25" s="6" t="s">
        <v>4</v>
      </c>
      <c r="E25" s="4"/>
      <c r="F25" s="4"/>
      <c r="G25" s="4"/>
      <c r="H25" s="4"/>
      <c r="I25" s="4"/>
      <c r="J25" s="4">
        <v>2459044</v>
      </c>
      <c r="K25" s="4">
        <v>2616513</v>
      </c>
      <c r="L25" s="4"/>
      <c r="M25" s="4">
        <v>2510711</v>
      </c>
      <c r="N25" s="4">
        <v>2333720</v>
      </c>
      <c r="O25" s="4">
        <v>2276500</v>
      </c>
      <c r="P25" s="4">
        <f t="shared" ref="P25:AD34" si="9">O24*(1-$C25)</f>
        <v>1639512.9384072644</v>
      </c>
      <c r="Q25" s="4">
        <f t="shared" si="9"/>
        <v>1630755.5909737241</v>
      </c>
      <c r="R25" s="4">
        <f t="shared" si="9"/>
        <v>1704828.5086197285</v>
      </c>
      <c r="S25" s="4">
        <f t="shared" si="9"/>
        <v>1998866.8750889848</v>
      </c>
      <c r="T25" s="4">
        <f t="shared" si="9"/>
        <v>2277064.7908393587</v>
      </c>
      <c r="U25" s="4">
        <f t="shared" si="9"/>
        <v>2277064.7908393587</v>
      </c>
      <c r="V25" s="4">
        <f t="shared" si="9"/>
        <v>2277064.7908393587</v>
      </c>
      <c r="W25" s="4">
        <f t="shared" si="9"/>
        <v>2277064.7908393587</v>
      </c>
      <c r="X25" s="4">
        <f t="shared" si="9"/>
        <v>2178061.9738463429</v>
      </c>
      <c r="Y25" s="4">
        <f t="shared" si="9"/>
        <v>2079059.1568533273</v>
      </c>
      <c r="Z25" s="4">
        <f t="shared" si="9"/>
        <v>1980056.3398603119</v>
      </c>
      <c r="AA25" s="4">
        <f t="shared" si="9"/>
        <v>2079059.1568533273</v>
      </c>
      <c r="AB25" s="4">
        <f t="shared" si="9"/>
        <v>2128560.565349835</v>
      </c>
      <c r="AC25" s="4">
        <f t="shared" si="9"/>
        <v>2153311.2695980892</v>
      </c>
      <c r="AD25" s="4">
        <f t="shared" si="9"/>
        <v>2128560.565349835</v>
      </c>
    </row>
    <row r="26" spans="1:30" ht="15.6" x14ac:dyDescent="0.55000000000000004">
      <c r="C26" s="5">
        <f t="shared" si="8"/>
        <v>8.1546450927145742E-3</v>
      </c>
      <c r="D26" s="6" t="s">
        <v>5</v>
      </c>
      <c r="E26" s="4"/>
      <c r="F26" s="4"/>
      <c r="G26" s="4"/>
      <c r="H26" s="4"/>
      <c r="I26" s="4"/>
      <c r="J26" s="4">
        <v>2229797</v>
      </c>
      <c r="K26" s="4">
        <v>2443580</v>
      </c>
      <c r="L26" s="4"/>
      <c r="M26" s="4">
        <v>2646155</v>
      </c>
      <c r="N26" s="4">
        <v>2485552</v>
      </c>
      <c r="O26" s="4">
        <v>2288133</v>
      </c>
      <c r="P26" s="4">
        <f t="shared" si="9"/>
        <v>2257935.9504464353</v>
      </c>
      <c r="Q26" s="4">
        <f t="shared" si="9"/>
        <v>1626143.2922696397</v>
      </c>
      <c r="R26" s="4">
        <f t="shared" si="9"/>
        <v>1617457.3578963734</v>
      </c>
      <c r="S26" s="4">
        <f t="shared" si="9"/>
        <v>1690926.2371879928</v>
      </c>
      <c r="T26" s="4">
        <f t="shared" si="9"/>
        <v>1982566.8251350508</v>
      </c>
      <c r="U26" s="4">
        <f t="shared" si="9"/>
        <v>2258496.1356169474</v>
      </c>
      <c r="V26" s="4">
        <f t="shared" si="9"/>
        <v>2258496.1356169474</v>
      </c>
      <c r="W26" s="4">
        <f t="shared" si="9"/>
        <v>2258496.1356169474</v>
      </c>
      <c r="X26" s="4">
        <f t="shared" si="9"/>
        <v>2258496.1356169474</v>
      </c>
      <c r="Y26" s="4">
        <f t="shared" si="9"/>
        <v>2160300.6514596888</v>
      </c>
      <c r="Z26" s="4">
        <f t="shared" si="9"/>
        <v>2062105.1673024299</v>
      </c>
      <c r="AA26" s="4">
        <f t="shared" si="9"/>
        <v>1963909.6831451717</v>
      </c>
      <c r="AB26" s="4">
        <f t="shared" si="9"/>
        <v>2062105.1673024299</v>
      </c>
      <c r="AC26" s="4">
        <f t="shared" si="9"/>
        <v>2111202.909381059</v>
      </c>
      <c r="AD26" s="4">
        <f t="shared" si="9"/>
        <v>2135751.7804203741</v>
      </c>
    </row>
    <row r="27" spans="1:30" ht="15.6" x14ac:dyDescent="0.55000000000000004">
      <c r="C27" s="5">
        <f t="shared" si="8"/>
        <v>1.1168373760285843E-2</v>
      </c>
      <c r="D27" s="6" t="s">
        <v>6</v>
      </c>
      <c r="E27" s="4"/>
      <c r="F27" s="4"/>
      <c r="G27" s="4"/>
      <c r="H27" s="4"/>
      <c r="I27" s="4"/>
      <c r="J27" s="4">
        <v>1984883</v>
      </c>
      <c r="K27" s="4">
        <v>2209963</v>
      </c>
      <c r="L27" s="4"/>
      <c r="M27" s="4">
        <v>2562657</v>
      </c>
      <c r="N27" s="4">
        <v>2610586</v>
      </c>
      <c r="O27" s="4">
        <v>2372755</v>
      </c>
      <c r="P27" s="4">
        <f t="shared" si="9"/>
        <v>2262578.2754427558</v>
      </c>
      <c r="Q27" s="4">
        <f t="shared" si="9"/>
        <v>2232718.4778250633</v>
      </c>
      <c r="R27" s="4">
        <f t="shared" si="9"/>
        <v>1607981.9161937905</v>
      </c>
      <c r="S27" s="4">
        <f t="shared" si="9"/>
        <v>1599392.9895820622</v>
      </c>
      <c r="T27" s="4">
        <f t="shared" si="9"/>
        <v>1672041.3409700035</v>
      </c>
      <c r="U27" s="4">
        <f t="shared" si="9"/>
        <v>1960424.7778271991</v>
      </c>
      <c r="V27" s="4">
        <f t="shared" si="9"/>
        <v>2233272.4066382162</v>
      </c>
      <c r="W27" s="4">
        <f t="shared" si="9"/>
        <v>2233272.4066382162</v>
      </c>
      <c r="X27" s="4">
        <f t="shared" si="9"/>
        <v>2233272.4066382162</v>
      </c>
      <c r="Y27" s="4">
        <f t="shared" si="9"/>
        <v>2233272.4066382162</v>
      </c>
      <c r="Z27" s="4">
        <f t="shared" si="9"/>
        <v>2136173.6063495977</v>
      </c>
      <c r="AA27" s="4">
        <f t="shared" si="9"/>
        <v>2039074.8060609794</v>
      </c>
      <c r="AB27" s="4">
        <f t="shared" si="9"/>
        <v>1941976.0057723618</v>
      </c>
      <c r="AC27" s="4">
        <f t="shared" si="9"/>
        <v>2039074.8060609794</v>
      </c>
      <c r="AD27" s="4">
        <f t="shared" si="9"/>
        <v>2087624.2062052884</v>
      </c>
    </row>
    <row r="28" spans="1:30" ht="15.6" x14ac:dyDescent="0.55000000000000004">
      <c r="C28" s="5">
        <f t="shared" si="8"/>
        <v>1.2597694490372846E-2</v>
      </c>
      <c r="D28" s="6" t="s">
        <v>7</v>
      </c>
      <c r="E28" s="4"/>
      <c r="F28" s="4"/>
      <c r="G28" s="4"/>
      <c r="H28" s="4"/>
      <c r="I28" s="4"/>
      <c r="J28" s="4">
        <v>1860448</v>
      </c>
      <c r="K28" s="4">
        <v>1963985</v>
      </c>
      <c r="L28" s="4"/>
      <c r="M28" s="4">
        <v>2379064</v>
      </c>
      <c r="N28" s="4">
        <v>2525071</v>
      </c>
      <c r="O28" s="4">
        <v>2539709</v>
      </c>
      <c r="P28" s="4">
        <f t="shared" si="9"/>
        <v>2342863.7574094953</v>
      </c>
      <c r="Q28" s="4">
        <f t="shared" si="9"/>
        <v>2234075.0055681732</v>
      </c>
      <c r="R28" s="4">
        <f t="shared" si="9"/>
        <v>2204591.3725584126</v>
      </c>
      <c r="S28" s="4">
        <f t="shared" si="9"/>
        <v>1587725.0512675368</v>
      </c>
      <c r="T28" s="4">
        <f t="shared" si="9"/>
        <v>1579244.3253292632</v>
      </c>
      <c r="U28" s="4">
        <f t="shared" si="9"/>
        <v>1650977.4749811902</v>
      </c>
      <c r="V28" s="4">
        <f t="shared" si="9"/>
        <v>1935727.945404775</v>
      </c>
      <c r="W28" s="4">
        <f t="shared" si="9"/>
        <v>2205138.3231456084</v>
      </c>
      <c r="X28" s="4">
        <f t="shared" si="9"/>
        <v>2205138.3231456084</v>
      </c>
      <c r="Y28" s="4">
        <f t="shared" si="9"/>
        <v>2205138.3231456084</v>
      </c>
      <c r="Z28" s="4">
        <f t="shared" si="9"/>
        <v>2205138.3231456084</v>
      </c>
      <c r="AA28" s="4">
        <f t="shared" si="9"/>
        <v>2109262.7438784074</v>
      </c>
      <c r="AB28" s="4">
        <f t="shared" si="9"/>
        <v>2013387.1646112069</v>
      </c>
      <c r="AC28" s="4">
        <f t="shared" si="9"/>
        <v>1917511.585344007</v>
      </c>
      <c r="AD28" s="4">
        <f t="shared" si="9"/>
        <v>2013387.1646112069</v>
      </c>
    </row>
    <row r="29" spans="1:30" ht="15.6" x14ac:dyDescent="0.55000000000000004">
      <c r="C29" s="5">
        <f t="shared" si="8"/>
        <v>1.0296922762608296E-2</v>
      </c>
      <c r="D29" s="6" t="s">
        <v>8</v>
      </c>
      <c r="E29" s="4"/>
      <c r="F29" s="4"/>
      <c r="G29" s="4"/>
      <c r="H29" s="4"/>
      <c r="I29" s="4"/>
      <c r="J29" s="4">
        <v>1935386</v>
      </c>
      <c r="K29" s="4">
        <v>1842529</v>
      </c>
      <c r="L29" s="4"/>
      <c r="M29" s="4">
        <v>2156326</v>
      </c>
      <c r="N29" s="4">
        <v>2352984</v>
      </c>
      <c r="O29" s="4">
        <v>2470111</v>
      </c>
      <c r="P29" s="4">
        <f t="shared" si="9"/>
        <v>2513557.8125874987</v>
      </c>
      <c r="Q29" s="4">
        <f t="shared" si="9"/>
        <v>2318739.4702561353</v>
      </c>
      <c r="R29" s="4">
        <f t="shared" si="9"/>
        <v>2211070.9077899642</v>
      </c>
      <c r="S29" s="4">
        <f t="shared" si="9"/>
        <v>2181890.8654720662</v>
      </c>
      <c r="T29" s="4">
        <f t="shared" si="9"/>
        <v>1571376.3690463768</v>
      </c>
      <c r="U29" s="4">
        <f t="shared" si="9"/>
        <v>1562982.9684880604</v>
      </c>
      <c r="V29" s="4">
        <f t="shared" si="9"/>
        <v>1633977.4874385027</v>
      </c>
      <c r="W29" s="4">
        <f t="shared" si="9"/>
        <v>1915795.9042615197</v>
      </c>
      <c r="X29" s="4">
        <f t="shared" si="9"/>
        <v>2182432.1841513105</v>
      </c>
      <c r="Y29" s="4">
        <f t="shared" si="9"/>
        <v>2182432.1841513105</v>
      </c>
      <c r="Z29" s="4">
        <f t="shared" si="9"/>
        <v>2182432.1841513105</v>
      </c>
      <c r="AA29" s="4">
        <f t="shared" si="9"/>
        <v>2182432.1841513105</v>
      </c>
      <c r="AB29" s="4">
        <f t="shared" si="9"/>
        <v>2087543.8283186441</v>
      </c>
      <c r="AC29" s="4">
        <f t="shared" si="9"/>
        <v>1992655.4724859784</v>
      </c>
      <c r="AD29" s="4">
        <f t="shared" si="9"/>
        <v>1897767.1166533132</v>
      </c>
    </row>
    <row r="30" spans="1:30" ht="15.6" x14ac:dyDescent="0.55000000000000004">
      <c r="C30" s="5">
        <f t="shared" si="8"/>
        <v>1.0185743676067616E-2</v>
      </c>
      <c r="D30" s="6" t="s">
        <v>9</v>
      </c>
      <c r="E30" s="4"/>
      <c r="F30" s="4"/>
      <c r="G30" s="4"/>
      <c r="H30" s="4"/>
      <c r="I30" s="4"/>
      <c r="J30" s="4">
        <v>1898716</v>
      </c>
      <c r="K30" s="4">
        <v>1917222</v>
      </c>
      <c r="L30" s="4"/>
      <c r="M30" s="4">
        <v>1919838</v>
      </c>
      <c r="N30" s="4">
        <v>2132636</v>
      </c>
      <c r="O30" s="4">
        <v>2297801</v>
      </c>
      <c r="P30" s="4">
        <f t="shared" si="9"/>
        <v>2444951.0825025649</v>
      </c>
      <c r="Q30" s="4">
        <f t="shared" si="9"/>
        <v>2487955.3569935053</v>
      </c>
      <c r="R30" s="4">
        <f t="shared" si="9"/>
        <v>2295121.3843605258</v>
      </c>
      <c r="S30" s="4">
        <f t="shared" si="9"/>
        <v>2188549.5062736054</v>
      </c>
      <c r="T30" s="4">
        <f t="shared" si="9"/>
        <v>2159666.6843872145</v>
      </c>
      <c r="U30" s="4">
        <f t="shared" si="9"/>
        <v>1555370.7321326407</v>
      </c>
      <c r="V30" s="4">
        <f t="shared" si="9"/>
        <v>1547062.8246009818</v>
      </c>
      <c r="W30" s="4">
        <f t="shared" si="9"/>
        <v>1617334.2115789892</v>
      </c>
      <c r="X30" s="4">
        <f t="shared" si="9"/>
        <v>1896282.0982450517</v>
      </c>
      <c r="Y30" s="4">
        <f t="shared" si="9"/>
        <v>2160202.4893331449</v>
      </c>
      <c r="Z30" s="4">
        <f t="shared" si="9"/>
        <v>2160202.4893331449</v>
      </c>
      <c r="AA30" s="4">
        <f t="shared" si="9"/>
        <v>2160202.4893331449</v>
      </c>
      <c r="AB30" s="4">
        <f t="shared" si="9"/>
        <v>2160202.4893331449</v>
      </c>
      <c r="AC30" s="4">
        <f t="shared" si="9"/>
        <v>2066280.6419708335</v>
      </c>
      <c r="AD30" s="4">
        <f t="shared" si="9"/>
        <v>1972358.7946085229</v>
      </c>
    </row>
    <row r="31" spans="1:30" ht="15.6" x14ac:dyDescent="0.55000000000000004">
      <c r="C31" s="5">
        <f t="shared" si="8"/>
        <v>1.2319735914107732E-2</v>
      </c>
      <c r="D31" s="6" t="s">
        <v>10</v>
      </c>
      <c r="E31" s="4"/>
      <c r="F31" s="4"/>
      <c r="G31" s="4"/>
      <c r="H31" s="4"/>
      <c r="I31" s="4"/>
      <c r="J31" s="4">
        <v>1995199</v>
      </c>
      <c r="K31" s="4">
        <v>1877340</v>
      </c>
      <c r="L31" s="4"/>
      <c r="M31" s="4">
        <v>1795516</v>
      </c>
      <c r="N31" s="4">
        <v>1894148</v>
      </c>
      <c r="O31" s="4">
        <v>2084332</v>
      </c>
      <c r="P31" s="4">
        <f t="shared" si="9"/>
        <v>2269492.6984968274</v>
      </c>
      <c r="Q31" s="4">
        <f t="shared" si="9"/>
        <v>2414829.9308432215</v>
      </c>
      <c r="R31" s="4">
        <f t="shared" si="9"/>
        <v>2457304.4040292557</v>
      </c>
      <c r="S31" s="4">
        <f t="shared" si="9"/>
        <v>2266846.0950143826</v>
      </c>
      <c r="T31" s="4">
        <f t="shared" si="9"/>
        <v>2161587.1543213637</v>
      </c>
      <c r="U31" s="4">
        <f t="shared" si="9"/>
        <v>2133060.1611730675</v>
      </c>
      <c r="V31" s="4">
        <f t="shared" si="9"/>
        <v>1536208.9754642341</v>
      </c>
      <c r="W31" s="4">
        <f t="shared" si="9"/>
        <v>1528003.4191593642</v>
      </c>
      <c r="X31" s="4">
        <f t="shared" si="9"/>
        <v>1597409.0812074845</v>
      </c>
      <c r="Y31" s="4">
        <f t="shared" si="9"/>
        <v>1872920.4035760225</v>
      </c>
      <c r="Z31" s="4">
        <f t="shared" si="9"/>
        <v>2133589.3651435622</v>
      </c>
      <c r="AA31" s="4">
        <f t="shared" si="9"/>
        <v>2133589.3651435622</v>
      </c>
      <c r="AB31" s="4">
        <f t="shared" si="9"/>
        <v>2133589.3651435622</v>
      </c>
      <c r="AC31" s="4">
        <f t="shared" si="9"/>
        <v>2133589.3651435622</v>
      </c>
      <c r="AD31" s="4">
        <f t="shared" si="9"/>
        <v>2040824.6101373199</v>
      </c>
    </row>
    <row r="32" spans="1:30" ht="15.6" x14ac:dyDescent="0.55000000000000004">
      <c r="C32" s="5">
        <f t="shared" si="8"/>
        <v>1.6547656589524506E-2</v>
      </c>
      <c r="D32" s="6" t="s">
        <v>11</v>
      </c>
      <c r="E32" s="4"/>
      <c r="F32" s="4"/>
      <c r="G32" s="4"/>
      <c r="H32" s="4"/>
      <c r="I32" s="4"/>
      <c r="J32" s="4">
        <v>2260520</v>
      </c>
      <c r="K32" s="4">
        <v>1962957</v>
      </c>
      <c r="L32" s="4"/>
      <c r="M32" s="4">
        <v>1860000</v>
      </c>
      <c r="N32" s="4">
        <v>1765108</v>
      </c>
      <c r="O32" s="4">
        <v>1850516</v>
      </c>
      <c r="P32" s="4">
        <f t="shared" si="9"/>
        <v>2049841.1898454432</v>
      </c>
      <c r="Q32" s="4">
        <f t="shared" si="9"/>
        <v>2231937.9126896686</v>
      </c>
      <c r="R32" s="4">
        <f t="shared" si="9"/>
        <v>2374870.1544255228</v>
      </c>
      <c r="S32" s="4">
        <f t="shared" si="9"/>
        <v>2416641.7746154536</v>
      </c>
      <c r="T32" s="4">
        <f t="shared" si="9"/>
        <v>2229335.1042927802</v>
      </c>
      <c r="U32" s="4">
        <f t="shared" si="9"/>
        <v>2125817.9524033261</v>
      </c>
      <c r="V32" s="4">
        <f t="shared" si="9"/>
        <v>2097763.0141411796</v>
      </c>
      <c r="W32" s="4">
        <f t="shared" si="9"/>
        <v>1510788.3168885068</v>
      </c>
      <c r="X32" s="4">
        <f t="shared" si="9"/>
        <v>1502718.5433114958</v>
      </c>
      <c r="Y32" s="4">
        <f t="shared" si="9"/>
        <v>1570975.7042986751</v>
      </c>
      <c r="Z32" s="4">
        <f t="shared" si="9"/>
        <v>1841927.9599181328</v>
      </c>
      <c r="AA32" s="4">
        <f t="shared" si="9"/>
        <v>2098283.4610261051</v>
      </c>
      <c r="AB32" s="4">
        <f t="shared" si="9"/>
        <v>2098283.4610261051</v>
      </c>
      <c r="AC32" s="4">
        <f t="shared" si="9"/>
        <v>2098283.4610261051</v>
      </c>
      <c r="AD32" s="4">
        <f t="shared" si="9"/>
        <v>2098283.4610261051</v>
      </c>
    </row>
    <row r="33" spans="1:30" ht="15.6" x14ac:dyDescent="0.55000000000000004">
      <c r="C33" s="5">
        <f t="shared" si="8"/>
        <v>2.1708557028176423E-2</v>
      </c>
      <c r="D33" s="6" t="s">
        <v>12</v>
      </c>
      <c r="E33" s="4"/>
      <c r="F33" s="4"/>
      <c r="G33" s="4"/>
      <c r="H33" s="4"/>
      <c r="I33" s="4"/>
      <c r="J33" s="4">
        <v>2145040</v>
      </c>
      <c r="K33" s="4">
        <v>2211394</v>
      </c>
      <c r="L33" s="4"/>
      <c r="M33" s="4">
        <v>1804086</v>
      </c>
      <c r="N33" s="4">
        <v>1819666</v>
      </c>
      <c r="O33" s="4">
        <v>1717777</v>
      </c>
      <c r="P33" s="4">
        <f t="shared" si="9"/>
        <v>1810343.9678824472</v>
      </c>
      <c r="Q33" s="4">
        <f t="shared" si="9"/>
        <v>2005342.0954769785</v>
      </c>
      <c r="R33" s="4">
        <f t="shared" si="9"/>
        <v>2183485.761228696</v>
      </c>
      <c r="S33" s="4">
        <f t="shared" si="9"/>
        <v>2323315.1502436623</v>
      </c>
      <c r="T33" s="4">
        <f t="shared" si="9"/>
        <v>2364179.9688345403</v>
      </c>
      <c r="U33" s="4">
        <f t="shared" si="9"/>
        <v>2180939.4560463247</v>
      </c>
      <c r="V33" s="4">
        <f t="shared" si="9"/>
        <v>2079669.5121520571</v>
      </c>
      <c r="W33" s="4">
        <f t="shared" si="9"/>
        <v>2052223.6061170965</v>
      </c>
      <c r="X33" s="4">
        <f t="shared" si="9"/>
        <v>1477991.28255383</v>
      </c>
      <c r="Y33" s="4">
        <f t="shared" si="9"/>
        <v>1470096.6921167199</v>
      </c>
      <c r="Z33" s="4">
        <f t="shared" si="9"/>
        <v>1536872.0886320276</v>
      </c>
      <c r="AA33" s="4">
        <f t="shared" si="9"/>
        <v>1801942.3617584573</v>
      </c>
      <c r="AB33" s="4">
        <f t="shared" si="9"/>
        <v>2052732.7548511405</v>
      </c>
      <c r="AC33" s="4">
        <f t="shared" si="9"/>
        <v>2052732.7548511405</v>
      </c>
      <c r="AD33" s="4">
        <f t="shared" si="9"/>
        <v>2052732.7548511405</v>
      </c>
    </row>
    <row r="34" spans="1:30" ht="15.6" x14ac:dyDescent="0.55000000000000004">
      <c r="C34" s="5">
        <f>C33</f>
        <v>2.1708557028176423E-2</v>
      </c>
      <c r="D34" s="6" t="s">
        <v>13</v>
      </c>
      <c r="E34" s="4"/>
      <c r="F34" s="4"/>
      <c r="G34" s="4"/>
      <c r="H34" s="4"/>
      <c r="I34" s="4"/>
      <c r="J34" s="4">
        <v>12150865</v>
      </c>
      <c r="K34" s="4">
        <v>12653140</v>
      </c>
      <c r="L34" s="4"/>
      <c r="M34" s="4">
        <v>12906032</v>
      </c>
      <c r="N34" s="4">
        <v>12952282</v>
      </c>
      <c r="O34" s="4">
        <v>14910781</v>
      </c>
      <c r="P34" s="4">
        <f t="shared" si="9"/>
        <v>1680486.5400338101</v>
      </c>
      <c r="Q34" s="4">
        <f t="shared" si="9"/>
        <v>1771044.0126150558</v>
      </c>
      <c r="R34" s="4">
        <f t="shared" si="9"/>
        <v>1961809.0122363137</v>
      </c>
      <c r="S34" s="4">
        <f t="shared" si="9"/>
        <v>2136085.4360608514</v>
      </c>
      <c r="T34" s="4">
        <f t="shared" si="9"/>
        <v>2272879.3308101716</v>
      </c>
      <c r="U34" s="4">
        <f t="shared" si="9"/>
        <v>2312857.0331562236</v>
      </c>
      <c r="V34" s="4">
        <f t="shared" si="9"/>
        <v>2133594.4074897431</v>
      </c>
      <c r="W34" s="4">
        <f t="shared" si="9"/>
        <v>2034522.8879477445</v>
      </c>
      <c r="X34" s="4">
        <f t="shared" si="9"/>
        <v>2007672.7929291336</v>
      </c>
      <c r="Y34" s="4">
        <f t="shared" si="9"/>
        <v>1445906.2245093626</v>
      </c>
      <c r="Z34" s="4">
        <f t="shared" si="9"/>
        <v>1438183.0142389706</v>
      </c>
      <c r="AA34" s="4">
        <f t="shared" si="9"/>
        <v>1503508.8132509466</v>
      </c>
      <c r="AB34" s="4">
        <f t="shared" si="9"/>
        <v>1762824.7932367369</v>
      </c>
      <c r="AC34" s="4">
        <f t="shared" si="9"/>
        <v>2008170.8887788488</v>
      </c>
      <c r="AD34" s="4">
        <f t="shared" si="9"/>
        <v>2008170.8887788488</v>
      </c>
    </row>
    <row r="35" spans="1:30" ht="15.6" x14ac:dyDescent="0.55000000000000004">
      <c r="D35" s="3" t="s">
        <v>2</v>
      </c>
      <c r="E35" s="4">
        <f t="shared" ref="E35:L35" si="10">SUM(E24:E34)</f>
        <v>0</v>
      </c>
      <c r="F35" s="4">
        <f t="shared" si="10"/>
        <v>0</v>
      </c>
      <c r="G35" s="4">
        <f t="shared" si="10"/>
        <v>0</v>
      </c>
      <c r="H35" s="4">
        <f t="shared" si="10"/>
        <v>0</v>
      </c>
      <c r="I35" s="4">
        <f t="shared" si="10"/>
        <v>0</v>
      </c>
      <c r="J35" s="4">
        <f t="shared" si="10"/>
        <v>33542448</v>
      </c>
      <c r="K35" s="4">
        <f t="shared" si="10"/>
        <v>34378386</v>
      </c>
      <c r="L35" s="4">
        <f t="shared" si="10"/>
        <v>0</v>
      </c>
      <c r="M35" s="4">
        <f>SUM(M24:M34)</f>
        <v>34887915</v>
      </c>
      <c r="N35" s="4">
        <f t="shared" ref="N35:AD35" si="11">SUM(N24:N34)</f>
        <v>35168259</v>
      </c>
      <c r="O35" s="4">
        <f t="shared" si="11"/>
        <v>36454665</v>
      </c>
      <c r="P35" s="4">
        <f t="shared" si="11"/>
        <v>22909020.880062323</v>
      </c>
      <c r="Q35" s="4">
        <f t="shared" si="11"/>
        <v>22665375.109469827</v>
      </c>
      <c r="R35" s="4">
        <f t="shared" si="11"/>
        <v>22625601.367743082</v>
      </c>
      <c r="S35" s="4">
        <f t="shared" si="11"/>
        <v>22676661.651599243</v>
      </c>
      <c r="T35" s="4">
        <f t="shared" si="11"/>
        <v>22556363.564758766</v>
      </c>
      <c r="U35" s="4">
        <f t="shared" si="11"/>
        <v>22304413.153456982</v>
      </c>
      <c r="V35" s="4">
        <f t="shared" si="11"/>
        <v>22019259.17057864</v>
      </c>
      <c r="W35" s="4">
        <f t="shared" si="11"/>
        <v>21819652.035125446</v>
      </c>
      <c r="X35" s="4">
        <f t="shared" si="11"/>
        <v>21627077.216716964</v>
      </c>
      <c r="Y35" s="4">
        <f t="shared" si="11"/>
        <v>21368496.993293069</v>
      </c>
      <c r="Z35" s="4">
        <f t="shared" si="11"/>
        <v>21764282.933146644</v>
      </c>
      <c r="AA35" s="4">
        <f t="shared" si="11"/>
        <v>22208572.278603233</v>
      </c>
      <c r="AB35" s="4">
        <f t="shared" si="11"/>
        <v>22603365.218412124</v>
      </c>
      <c r="AC35" s="4">
        <f t="shared" si="11"/>
        <v>22710120.368642423</v>
      </c>
      <c r="AD35" s="4">
        <f t="shared" si="11"/>
        <v>22572768.556643773</v>
      </c>
    </row>
    <row r="36" spans="1:30" ht="15.6" x14ac:dyDescent="0.55000000000000004"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6" hidden="1" x14ac:dyDescent="0.55000000000000004">
      <c r="A37" s="3" t="s">
        <v>14</v>
      </c>
      <c r="C37" s="7"/>
      <c r="D37" s="6" t="s">
        <v>3</v>
      </c>
      <c r="E37" s="8"/>
      <c r="F37" s="8"/>
      <c r="G37" s="8"/>
      <c r="H37" s="8"/>
      <c r="I37" s="8"/>
      <c r="J37" s="9">
        <f>1-J24/J6</f>
        <v>4.1590991162721025E-3</v>
      </c>
      <c r="K37" s="9">
        <f t="shared" ref="K37:O37" si="12">1-K24/K6</f>
        <v>4.8362550904528234E-3</v>
      </c>
      <c r="L37" s="9"/>
      <c r="M37" s="9">
        <f t="shared" si="12"/>
        <v>8.2871912897678479E-3</v>
      </c>
      <c r="N37" s="9">
        <f t="shared" si="12"/>
        <v>6.3319400815181615E-3</v>
      </c>
      <c r="O37" s="9">
        <f t="shared" si="12"/>
        <v>-9.3104868968967303E-3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6" hidden="1" x14ac:dyDescent="0.55000000000000004">
      <c r="C38" s="7"/>
      <c r="D38" s="6" t="s">
        <v>4</v>
      </c>
      <c r="E38" s="8"/>
      <c r="F38" s="8"/>
      <c r="G38" s="8"/>
      <c r="H38" s="8"/>
      <c r="I38" s="8"/>
      <c r="J38" s="8"/>
      <c r="K38" s="9">
        <f>1-K25/J24</f>
        <v>2.3019580179596266E-3</v>
      </c>
      <c r="L38" s="9"/>
      <c r="M38" s="9"/>
      <c r="N38" s="9">
        <f t="shared" ref="N38:O38" si="13">1-N25/M24</f>
        <v>5.8827789208231174E-3</v>
      </c>
      <c r="O38" s="9">
        <f t="shared" si="13"/>
        <v>8.7114947663973208E-3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6" hidden="1" x14ac:dyDescent="0.55000000000000004">
      <c r="C39" s="7"/>
      <c r="D39" s="6" t="s">
        <v>5</v>
      </c>
      <c r="E39" s="8"/>
      <c r="F39" s="8"/>
      <c r="G39" s="8"/>
      <c r="H39" s="8"/>
      <c r="I39" s="8"/>
      <c r="J39" s="8"/>
      <c r="K39" s="9">
        <f t="shared" ref="K39:O39" si="14">1-K26/J25</f>
        <v>6.288622733062077E-3</v>
      </c>
      <c r="L39" s="9"/>
      <c r="M39" s="9"/>
      <c r="N39" s="9">
        <f t="shared" si="14"/>
        <v>1.0020667452367071E-2</v>
      </c>
      <c r="O39" s="9">
        <f t="shared" si="14"/>
        <v>1.9534048643367719E-2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6" hidden="1" x14ac:dyDescent="0.55000000000000004">
      <c r="C40" s="7"/>
      <c r="D40" s="6" t="s">
        <v>6</v>
      </c>
      <c r="E40" s="8"/>
      <c r="F40" s="8"/>
      <c r="G40" s="8"/>
      <c r="H40" s="8"/>
      <c r="I40" s="8"/>
      <c r="J40" s="8"/>
      <c r="K40" s="9">
        <f t="shared" ref="K40:O40" si="15">1-K27/J26</f>
        <v>8.8949801259935457E-3</v>
      </c>
      <c r="L40" s="9"/>
      <c r="M40" s="9"/>
      <c r="N40" s="9">
        <f t="shared" si="15"/>
        <v>1.3441767394578141E-2</v>
      </c>
      <c r="O40" s="9">
        <f t="shared" si="15"/>
        <v>4.5381066258118885E-2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6" hidden="1" x14ac:dyDescent="0.55000000000000004">
      <c r="C41" s="7"/>
      <c r="D41" s="6" t="s">
        <v>7</v>
      </c>
      <c r="E41" s="8"/>
      <c r="F41" s="8"/>
      <c r="G41" s="8"/>
      <c r="H41" s="8"/>
      <c r="I41" s="8"/>
      <c r="J41" s="8"/>
      <c r="K41" s="9">
        <f t="shared" ref="K41:O41" si="16">1-K28/J27</f>
        <v>1.0528580274001054E-2</v>
      </c>
      <c r="L41" s="9"/>
      <c r="M41" s="9"/>
      <c r="N41" s="9">
        <f t="shared" si="16"/>
        <v>1.4666808706744638E-2</v>
      </c>
      <c r="O41" s="9">
        <f t="shared" si="16"/>
        <v>2.714984298544465E-2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6" hidden="1" x14ac:dyDescent="0.55000000000000004">
      <c r="C42" s="7"/>
      <c r="D42" s="6" t="s">
        <v>8</v>
      </c>
      <c r="E42" s="8"/>
      <c r="F42" s="8"/>
      <c r="G42" s="8"/>
      <c r="H42" s="8"/>
      <c r="I42" s="8"/>
      <c r="J42" s="8"/>
      <c r="K42" s="9">
        <f t="shared" ref="K42:O42" si="17">1-K29/J28</f>
        <v>9.6315511102702533E-3</v>
      </c>
      <c r="L42" s="9"/>
      <c r="M42" s="9"/>
      <c r="N42" s="9">
        <f t="shared" si="17"/>
        <v>1.0962294414946339E-2</v>
      </c>
      <c r="O42" s="9">
        <f t="shared" si="17"/>
        <v>2.1765724607347714E-2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6" hidden="1" x14ac:dyDescent="0.55000000000000004">
      <c r="C43" s="7"/>
      <c r="D43" s="6" t="s">
        <v>9</v>
      </c>
      <c r="E43" s="8"/>
      <c r="F43" s="8"/>
      <c r="G43" s="8"/>
      <c r="H43" s="8"/>
      <c r="I43" s="8"/>
      <c r="J43" s="8"/>
      <c r="K43" s="9">
        <f t="shared" ref="K43:O43" si="18">1-K30/J29</f>
        <v>9.3852079120134713E-3</v>
      </c>
      <c r="L43" s="9"/>
      <c r="M43" s="9"/>
      <c r="N43" s="9">
        <f t="shared" si="18"/>
        <v>1.098627944012176E-2</v>
      </c>
      <c r="O43" s="9">
        <f t="shared" si="18"/>
        <v>2.3452348167263382E-2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6" hidden="1" x14ac:dyDescent="0.55000000000000004">
      <c r="C44" s="7"/>
      <c r="D44" s="6" t="s">
        <v>10</v>
      </c>
      <c r="E44" s="8"/>
      <c r="F44" s="8"/>
      <c r="G44" s="8"/>
      <c r="H44" s="8"/>
      <c r="I44" s="8"/>
      <c r="J44" s="8"/>
      <c r="K44" s="9">
        <f t="shared" ref="K44:O44" si="19">1-K31/J30</f>
        <v>1.125813444454038E-2</v>
      </c>
      <c r="L44" s="9"/>
      <c r="M44" s="9"/>
      <c r="N44" s="9">
        <f t="shared" si="19"/>
        <v>1.3381337383675085E-2</v>
      </c>
      <c r="O44" s="9">
        <f t="shared" si="19"/>
        <v>2.2649903687267825E-2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6" hidden="1" x14ac:dyDescent="0.55000000000000004">
      <c r="C45" s="7"/>
      <c r="D45" s="6" t="s">
        <v>11</v>
      </c>
      <c r="E45" s="8"/>
      <c r="F45" s="8"/>
      <c r="G45" s="8"/>
      <c r="H45" s="8"/>
      <c r="I45" s="8"/>
      <c r="J45" s="8"/>
      <c r="K45" s="9">
        <f t="shared" ref="K45:O45" si="20">1-K32/J31</f>
        <v>1.6159791579687055E-2</v>
      </c>
      <c r="L45" s="9"/>
      <c r="M45" s="9"/>
      <c r="N45" s="9">
        <f t="shared" si="20"/>
        <v>1.6935521599361958E-2</v>
      </c>
      <c r="O45" s="9">
        <f t="shared" si="20"/>
        <v>2.3035158815467471E-2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6" hidden="1" x14ac:dyDescent="0.55000000000000004">
      <c r="C46" s="7"/>
      <c r="D46" s="6" t="s">
        <v>12</v>
      </c>
      <c r="E46" s="8"/>
      <c r="F46" s="8"/>
      <c r="G46" s="8"/>
      <c r="H46" s="8"/>
      <c r="I46" s="8"/>
      <c r="J46" s="8"/>
      <c r="K46" s="9">
        <f t="shared" ref="K46:O46" si="21">1-K33/J32</f>
        <v>2.1732167819793702E-2</v>
      </c>
      <c r="L46" s="9"/>
      <c r="M46" s="9"/>
      <c r="N46" s="9">
        <f t="shared" si="21"/>
        <v>2.1684946236559144E-2</v>
      </c>
      <c r="O46" s="9">
        <f t="shared" si="21"/>
        <v>2.6814789803230155E-2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6" hidden="1" x14ac:dyDescent="0.55000000000000004">
      <c r="C47" s="7"/>
      <c r="D47" s="6" t="s">
        <v>13</v>
      </c>
      <c r="E47" s="8"/>
      <c r="F47" s="8"/>
      <c r="G47" s="8"/>
      <c r="H47" s="8"/>
      <c r="I47" s="8"/>
      <c r="J47" s="8"/>
      <c r="K47" s="9"/>
      <c r="L47" s="9"/>
      <c r="M47" s="9"/>
      <c r="N47" s="9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6" hidden="1" x14ac:dyDescent="0.55000000000000004">
      <c r="D48" s="3" t="s">
        <v>2</v>
      </c>
      <c r="E48" s="8"/>
      <c r="F48" s="8"/>
      <c r="G48" s="8"/>
      <c r="H48" s="8"/>
      <c r="I48" s="8"/>
      <c r="J48" s="8"/>
      <c r="K48" s="9"/>
      <c r="L48" s="9"/>
      <c r="M48" s="9"/>
      <c r="N48" s="9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55000000000000004">
      <c r="K49" s="5"/>
      <c r="L49" s="5"/>
      <c r="M49" s="5"/>
      <c r="N49" s="5"/>
      <c r="O49" s="5"/>
    </row>
    <row r="50" spans="1:30" ht="15.6" x14ac:dyDescent="0.55000000000000004">
      <c r="A50" s="3" t="s">
        <v>20</v>
      </c>
      <c r="C50" s="5"/>
      <c r="D50" s="6" t="s">
        <v>3</v>
      </c>
      <c r="E50" s="11"/>
      <c r="F50" s="11"/>
      <c r="G50" s="11"/>
      <c r="H50" s="11"/>
      <c r="I50" s="11"/>
      <c r="J50" s="11">
        <f>J9/J24</f>
        <v>1.0684863480250807E-2</v>
      </c>
      <c r="K50" s="11">
        <f t="shared" ref="K50:AD50" si="22">K9/K24</f>
        <v>1.3691179050234327E-2</v>
      </c>
      <c r="L50" s="11"/>
      <c r="M50" s="11">
        <f t="shared" si="22"/>
        <v>2.5370201078850515E-2</v>
      </c>
      <c r="N50" s="11">
        <f t="shared" si="22"/>
        <v>3.1419683442891685E-2</v>
      </c>
      <c r="O50" s="11">
        <f t="shared" si="22"/>
        <v>0.10587934088279986</v>
      </c>
      <c r="P50" s="11">
        <f t="shared" si="22"/>
        <v>0.18533543065394756</v>
      </c>
      <c r="Q50" s="11">
        <f t="shared" si="22"/>
        <v>0.25145180023228808</v>
      </c>
      <c r="R50" s="11">
        <f t="shared" si="22"/>
        <v>0.29668152550767707</v>
      </c>
      <c r="S50" s="11">
        <f t="shared" si="22"/>
        <v>0.28260869565217389</v>
      </c>
      <c r="T50" s="11">
        <f t="shared" si="22"/>
        <v>0.34782608695652173</v>
      </c>
      <c r="U50" s="11">
        <f t="shared" si="22"/>
        <v>0.40217391304347822</v>
      </c>
      <c r="V50" s="11">
        <f t="shared" si="22"/>
        <v>0.47826086956521729</v>
      </c>
      <c r="W50" s="11">
        <f t="shared" si="22"/>
        <v>0.57954545454545459</v>
      </c>
      <c r="X50" s="11">
        <f t="shared" si="22"/>
        <v>0.72619047619047616</v>
      </c>
      <c r="Y50" s="11">
        <f t="shared" si="22"/>
        <v>0.87499999999999989</v>
      </c>
      <c r="Z50" s="11">
        <f t="shared" si="22"/>
        <v>0.91666666666666663</v>
      </c>
      <c r="AA50" s="11">
        <f t="shared" si="22"/>
        <v>0.93023255813953498</v>
      </c>
      <c r="AB50" s="11">
        <f t="shared" si="22"/>
        <v>0.95402298850574718</v>
      </c>
      <c r="AC50" s="11">
        <f t="shared" si="22"/>
        <v>0.9767441860465117</v>
      </c>
      <c r="AD50" s="11">
        <f t="shared" si="22"/>
        <v>1</v>
      </c>
    </row>
    <row r="51" spans="1:30" ht="15.6" x14ac:dyDescent="0.55000000000000004">
      <c r="C51" s="5"/>
      <c r="D51" s="6" t="s">
        <v>4</v>
      </c>
      <c r="E51" s="11"/>
      <c r="F51" s="11"/>
      <c r="G51" s="11"/>
      <c r="H51" s="11"/>
      <c r="I51" s="11"/>
      <c r="J51" s="11">
        <f t="shared" ref="J51:AD51" si="23">J10/J25</f>
        <v>5.8450474944921702E-3</v>
      </c>
      <c r="K51" s="11">
        <f t="shared" si="23"/>
        <v>1.0665689050270813E-2</v>
      </c>
      <c r="L51" s="11"/>
      <c r="M51" s="11">
        <f t="shared" si="23"/>
        <v>1.863683291123867E-2</v>
      </c>
      <c r="N51" s="11">
        <f t="shared" si="23"/>
        <v>2.5415892947176857E-2</v>
      </c>
      <c r="O51" s="11">
        <f t="shared" si="23"/>
        <v>3.1566090351948357E-2</v>
      </c>
      <c r="P51" s="11">
        <f t="shared" si="23"/>
        <v>0.10587934088279988</v>
      </c>
      <c r="Q51" s="11">
        <f t="shared" si="23"/>
        <v>0.18533543065394756</v>
      </c>
      <c r="R51" s="11">
        <f t="shared" si="23"/>
        <v>0.25145180023228808</v>
      </c>
      <c r="S51" s="11">
        <f t="shared" si="23"/>
        <v>0.29668152550767707</v>
      </c>
      <c r="T51" s="11">
        <f t="shared" si="23"/>
        <v>0.28260869565217389</v>
      </c>
      <c r="U51" s="11">
        <f t="shared" si="23"/>
        <v>0.34782608695652173</v>
      </c>
      <c r="V51" s="11">
        <f t="shared" si="23"/>
        <v>0.40217391304347827</v>
      </c>
      <c r="W51" s="11">
        <f t="shared" si="23"/>
        <v>0.47826086956521735</v>
      </c>
      <c r="X51" s="11">
        <f t="shared" si="23"/>
        <v>0.57954545454545447</v>
      </c>
      <c r="Y51" s="11">
        <f t="shared" si="23"/>
        <v>0.72619047619047616</v>
      </c>
      <c r="Z51" s="11">
        <f t="shared" si="23"/>
        <v>0.875</v>
      </c>
      <c r="AA51" s="11">
        <f t="shared" si="23"/>
        <v>0.91666666666666674</v>
      </c>
      <c r="AB51" s="11">
        <f t="shared" si="23"/>
        <v>0.93023255813953509</v>
      </c>
      <c r="AC51" s="11">
        <f t="shared" si="23"/>
        <v>0.95402298850574718</v>
      </c>
      <c r="AD51" s="11">
        <f t="shared" si="23"/>
        <v>0.9767441860465117</v>
      </c>
    </row>
    <row r="52" spans="1:30" ht="15.6" x14ac:dyDescent="0.55000000000000004">
      <c r="C52" s="5"/>
      <c r="D52" s="6" t="s">
        <v>5</v>
      </c>
      <c r="E52" s="11"/>
      <c r="F52" s="11"/>
      <c r="G52" s="11"/>
      <c r="H52" s="11"/>
      <c r="I52" s="11"/>
      <c r="J52" s="11">
        <f t="shared" ref="J52:AD52" si="24">J11/J26</f>
        <v>1.5783168387957054E-3</v>
      </c>
      <c r="K52" s="11">
        <f t="shared" si="24"/>
        <v>5.8340714811673045E-3</v>
      </c>
      <c r="L52" s="11"/>
      <c r="M52" s="11">
        <f t="shared" si="24"/>
        <v>1.3695723545264514E-2</v>
      </c>
      <c r="N52" s="11">
        <f t="shared" si="24"/>
        <v>1.8671961671791665E-2</v>
      </c>
      <c r="O52" s="11">
        <f t="shared" si="24"/>
        <v>2.5710872800425146E-2</v>
      </c>
      <c r="P52" s="11">
        <f t="shared" si="24"/>
        <v>3.1566090351948357E-2</v>
      </c>
      <c r="Q52" s="11">
        <f t="shared" si="24"/>
        <v>0.10587934088279986</v>
      </c>
      <c r="R52" s="11">
        <f t="shared" si="24"/>
        <v>0.18533543065394756</v>
      </c>
      <c r="S52" s="11">
        <f t="shared" si="24"/>
        <v>0.25145180023228803</v>
      </c>
      <c r="T52" s="11">
        <f t="shared" si="24"/>
        <v>0.29668152550767707</v>
      </c>
      <c r="U52" s="11">
        <f t="shared" si="24"/>
        <v>0.28260869565217389</v>
      </c>
      <c r="V52" s="11">
        <f t="shared" si="24"/>
        <v>0.34782608695652173</v>
      </c>
      <c r="W52" s="11">
        <f t="shared" si="24"/>
        <v>0.40217391304347827</v>
      </c>
      <c r="X52" s="11">
        <f t="shared" si="24"/>
        <v>0.47826086956521735</v>
      </c>
      <c r="Y52" s="11">
        <f t="shared" si="24"/>
        <v>0.57954545454545447</v>
      </c>
      <c r="Z52" s="11">
        <f t="shared" si="24"/>
        <v>0.72619047619047616</v>
      </c>
      <c r="AA52" s="11">
        <f t="shared" si="24"/>
        <v>0.87499999999999989</v>
      </c>
      <c r="AB52" s="11">
        <f t="shared" si="24"/>
        <v>0.91666666666666674</v>
      </c>
      <c r="AC52" s="11">
        <f t="shared" si="24"/>
        <v>0.9302325581395352</v>
      </c>
      <c r="AD52" s="11">
        <f t="shared" si="24"/>
        <v>0.95402298850574707</v>
      </c>
    </row>
    <row r="53" spans="1:30" ht="15.6" x14ac:dyDescent="0.55000000000000004">
      <c r="C53" s="5"/>
      <c r="D53" s="6" t="s">
        <v>6</v>
      </c>
      <c r="E53" s="11"/>
      <c r="F53" s="11"/>
      <c r="G53" s="11"/>
      <c r="H53" s="11"/>
      <c r="I53" s="11"/>
      <c r="J53" s="11">
        <f t="shared" ref="J53:AD53" si="25">J12/J27</f>
        <v>1.1026377668131831E-3</v>
      </c>
      <c r="K53" s="11">
        <f t="shared" si="25"/>
        <v>1.5746965005043398E-3</v>
      </c>
      <c r="L53" s="11"/>
      <c r="M53" s="11">
        <f t="shared" si="25"/>
        <v>1.0680403122757224E-2</v>
      </c>
      <c r="N53" s="11">
        <f t="shared" si="25"/>
        <v>1.3727283538071632E-2</v>
      </c>
      <c r="O53" s="11">
        <f t="shared" si="25"/>
        <v>1.9341148150740201E-2</v>
      </c>
      <c r="P53" s="11">
        <f t="shared" si="25"/>
        <v>2.5710872800425146E-2</v>
      </c>
      <c r="Q53" s="11">
        <f t="shared" si="25"/>
        <v>3.1566090351948357E-2</v>
      </c>
      <c r="R53" s="11">
        <f t="shared" si="25"/>
        <v>0.10587934088279986</v>
      </c>
      <c r="S53" s="11">
        <f t="shared" si="25"/>
        <v>0.18533543065394756</v>
      </c>
      <c r="T53" s="11">
        <f t="shared" si="25"/>
        <v>0.25145180023228803</v>
      </c>
      <c r="U53" s="11">
        <f t="shared" si="25"/>
        <v>0.29668152550767712</v>
      </c>
      <c r="V53" s="11">
        <f t="shared" si="25"/>
        <v>0.28260869565217384</v>
      </c>
      <c r="W53" s="11">
        <f t="shared" si="25"/>
        <v>0.34782608695652173</v>
      </c>
      <c r="X53" s="11">
        <f t="shared" si="25"/>
        <v>0.40217391304347822</v>
      </c>
      <c r="Y53" s="11">
        <f t="shared" si="25"/>
        <v>0.47826086956521729</v>
      </c>
      <c r="Z53" s="11">
        <f t="shared" si="25"/>
        <v>0.57954545454545447</v>
      </c>
      <c r="AA53" s="11">
        <f t="shared" si="25"/>
        <v>0.72619047619047616</v>
      </c>
      <c r="AB53" s="11">
        <f t="shared" si="25"/>
        <v>0.87499999999999989</v>
      </c>
      <c r="AC53" s="11">
        <f t="shared" si="25"/>
        <v>0.91666666666666674</v>
      </c>
      <c r="AD53" s="11">
        <f t="shared" si="25"/>
        <v>0.93023255813953509</v>
      </c>
    </row>
    <row r="54" spans="1:30" ht="15.6" x14ac:dyDescent="0.55000000000000004">
      <c r="C54" s="5"/>
      <c r="D54" s="6" t="s">
        <v>7</v>
      </c>
      <c r="E54" s="11"/>
      <c r="F54" s="11"/>
      <c r="G54" s="11"/>
      <c r="H54" s="11"/>
      <c r="I54" s="11"/>
      <c r="J54" s="11">
        <f t="shared" ref="J54:AD54" si="26">J13/J28</f>
        <v>1.1017883244964347E-3</v>
      </c>
      <c r="K54" s="11">
        <f t="shared" si="26"/>
        <v>1.1003320069566192E-3</v>
      </c>
      <c r="L54" s="11"/>
      <c r="M54" s="11">
        <f t="shared" si="26"/>
        <v>5.8507112873012858E-3</v>
      </c>
      <c r="N54" s="11">
        <f t="shared" si="26"/>
        <v>1.0702831042706692E-2</v>
      </c>
      <c r="O54" s="11">
        <f t="shared" si="26"/>
        <v>1.3932619855324221E-2</v>
      </c>
      <c r="P54" s="11">
        <f t="shared" si="26"/>
        <v>1.9341148150740201E-2</v>
      </c>
      <c r="Q54" s="11">
        <f t="shared" si="26"/>
        <v>2.5710872800425146E-2</v>
      </c>
      <c r="R54" s="11">
        <f t="shared" si="26"/>
        <v>3.1566090351948357E-2</v>
      </c>
      <c r="S54" s="11">
        <f t="shared" si="26"/>
        <v>0.10587934088279986</v>
      </c>
      <c r="T54" s="11">
        <f t="shared" si="26"/>
        <v>0.18533543065394756</v>
      </c>
      <c r="U54" s="11">
        <f t="shared" si="26"/>
        <v>0.25145180023228803</v>
      </c>
      <c r="V54" s="11">
        <f t="shared" si="26"/>
        <v>0.29668152550767712</v>
      </c>
      <c r="W54" s="11">
        <f t="shared" si="26"/>
        <v>0.28260869565217384</v>
      </c>
      <c r="X54" s="11">
        <f t="shared" si="26"/>
        <v>0.34782608695652173</v>
      </c>
      <c r="Y54" s="11">
        <f t="shared" si="26"/>
        <v>0.40217391304347816</v>
      </c>
      <c r="Z54" s="11">
        <f t="shared" si="26"/>
        <v>0.47826086956521724</v>
      </c>
      <c r="AA54" s="11">
        <f t="shared" si="26"/>
        <v>0.57954545454545459</v>
      </c>
      <c r="AB54" s="11">
        <f t="shared" si="26"/>
        <v>0.72619047619047616</v>
      </c>
      <c r="AC54" s="11">
        <f t="shared" si="26"/>
        <v>0.87499999999999989</v>
      </c>
      <c r="AD54" s="11">
        <f t="shared" si="26"/>
        <v>0.91666666666666674</v>
      </c>
    </row>
    <row r="55" spans="1:30" ht="15.6" x14ac:dyDescent="0.55000000000000004">
      <c r="C55" s="5"/>
      <c r="D55" s="6" t="s">
        <v>8</v>
      </c>
      <c r="E55" s="11"/>
      <c r="F55" s="11"/>
      <c r="G55" s="11"/>
      <c r="H55" s="11"/>
      <c r="I55" s="11"/>
      <c r="J55" s="11">
        <f t="shared" ref="J55:AD55" si="27">J14/J29</f>
        <v>1.2208004295956334E-4</v>
      </c>
      <c r="K55" s="11">
        <f t="shared" si="27"/>
        <v>1.1010480962320762E-3</v>
      </c>
      <c r="L55" s="11"/>
      <c r="M55" s="11">
        <f t="shared" si="27"/>
        <v>1.5771264053036217E-3</v>
      </c>
      <c r="N55" s="11">
        <f t="shared" si="27"/>
        <v>5.854647332827762E-3</v>
      </c>
      <c r="O55" s="11">
        <f t="shared" si="27"/>
        <v>1.0828310850043496E-2</v>
      </c>
      <c r="P55" s="11">
        <f t="shared" si="27"/>
        <v>1.3932619855324221E-2</v>
      </c>
      <c r="Q55" s="11">
        <f t="shared" si="27"/>
        <v>1.9341148150740201E-2</v>
      </c>
      <c r="R55" s="11">
        <f t="shared" si="27"/>
        <v>2.5710872800425142E-2</v>
      </c>
      <c r="S55" s="11">
        <f t="shared" si="27"/>
        <v>3.156609035194835E-2</v>
      </c>
      <c r="T55" s="11">
        <f t="shared" si="27"/>
        <v>0.10587934088279985</v>
      </c>
      <c r="U55" s="11">
        <f t="shared" si="27"/>
        <v>0.18533543065394756</v>
      </c>
      <c r="V55" s="11">
        <f t="shared" si="27"/>
        <v>0.25145180023228803</v>
      </c>
      <c r="W55" s="11">
        <f t="shared" si="27"/>
        <v>0.29668152550767712</v>
      </c>
      <c r="X55" s="11">
        <f t="shared" si="27"/>
        <v>0.28260869565217384</v>
      </c>
      <c r="Y55" s="11">
        <f t="shared" si="27"/>
        <v>0.34782608695652173</v>
      </c>
      <c r="Z55" s="11">
        <f t="shared" si="27"/>
        <v>0.40217391304347816</v>
      </c>
      <c r="AA55" s="11">
        <f t="shared" si="27"/>
        <v>0.47826086956521724</v>
      </c>
      <c r="AB55" s="11">
        <f t="shared" si="27"/>
        <v>0.57954545454545459</v>
      </c>
      <c r="AC55" s="11">
        <f t="shared" si="27"/>
        <v>0.72619047619047616</v>
      </c>
      <c r="AD55" s="11">
        <f t="shared" si="27"/>
        <v>0.87499999999999978</v>
      </c>
    </row>
    <row r="56" spans="1:30" ht="15.6" x14ac:dyDescent="0.55000000000000004">
      <c r="C56" s="5"/>
      <c r="D56" s="6" t="s">
        <v>9</v>
      </c>
      <c r="E56" s="11"/>
      <c r="F56" s="11"/>
      <c r="G56" s="11"/>
      <c r="H56" s="11"/>
      <c r="I56" s="11"/>
      <c r="J56" s="11">
        <f t="shared" ref="J56:AD56" si="28">J15/J30</f>
        <v>0</v>
      </c>
      <c r="K56" s="11">
        <f t="shared" si="28"/>
        <v>1.2198138761820667E-4</v>
      </c>
      <c r="L56" s="11"/>
      <c r="M56" s="11">
        <f t="shared" si="28"/>
        <v>1.1026963939386976E-3</v>
      </c>
      <c r="N56" s="11">
        <f t="shared" si="28"/>
        <v>1.578402976159651E-3</v>
      </c>
      <c r="O56" s="11">
        <f t="shared" si="28"/>
        <v>5.9341839437184749E-3</v>
      </c>
      <c r="P56" s="11">
        <f t="shared" si="28"/>
        <v>1.0828310850043498E-2</v>
      </c>
      <c r="Q56" s="11">
        <f t="shared" si="28"/>
        <v>1.393261985532422E-2</v>
      </c>
      <c r="R56" s="11">
        <f t="shared" si="28"/>
        <v>1.9341148150740197E-2</v>
      </c>
      <c r="S56" s="11">
        <f t="shared" si="28"/>
        <v>2.5710872800425146E-2</v>
      </c>
      <c r="T56" s="11">
        <f t="shared" si="28"/>
        <v>3.156609035194835E-2</v>
      </c>
      <c r="U56" s="11">
        <f t="shared" si="28"/>
        <v>0.10587934088279985</v>
      </c>
      <c r="V56" s="11">
        <f t="shared" si="28"/>
        <v>0.18533543065394756</v>
      </c>
      <c r="W56" s="11">
        <f t="shared" si="28"/>
        <v>0.25145180023228803</v>
      </c>
      <c r="X56" s="11">
        <f t="shared" si="28"/>
        <v>0.29668152550767712</v>
      </c>
      <c r="Y56" s="11">
        <f t="shared" si="28"/>
        <v>0.28260869565217378</v>
      </c>
      <c r="Z56" s="11">
        <f t="shared" si="28"/>
        <v>0.34782608695652173</v>
      </c>
      <c r="AA56" s="11">
        <f t="shared" si="28"/>
        <v>0.40217391304347816</v>
      </c>
      <c r="AB56" s="11">
        <f t="shared" si="28"/>
        <v>0.47826086956521724</v>
      </c>
      <c r="AC56" s="11">
        <f t="shared" si="28"/>
        <v>0.57954545454545459</v>
      </c>
      <c r="AD56" s="11">
        <f t="shared" si="28"/>
        <v>0.72619047619047616</v>
      </c>
    </row>
    <row r="57" spans="1:30" ht="15.6" x14ac:dyDescent="0.55000000000000004">
      <c r="C57" s="5"/>
      <c r="D57" s="6" t="s">
        <v>10</v>
      </c>
      <c r="E57" s="11"/>
      <c r="F57" s="11"/>
      <c r="G57" s="11"/>
      <c r="H57" s="11"/>
      <c r="I57" s="11"/>
      <c r="J57" s="11">
        <f t="shared" ref="J57:AD57" si="29">J16/J31</f>
        <v>0</v>
      </c>
      <c r="K57" s="11">
        <f t="shared" si="29"/>
        <v>0</v>
      </c>
      <c r="L57" s="11"/>
      <c r="M57" s="11">
        <f t="shared" si="29"/>
        <v>1.1045908039992124E-3</v>
      </c>
      <c r="N57" s="11">
        <f t="shared" si="29"/>
        <v>1.103882895022295E-3</v>
      </c>
      <c r="O57" s="11">
        <f t="shared" si="29"/>
        <v>1.5950860128922397E-3</v>
      </c>
      <c r="P57" s="11">
        <f t="shared" si="29"/>
        <v>5.9341839437184749E-3</v>
      </c>
      <c r="Q57" s="11">
        <f t="shared" si="29"/>
        <v>1.0828310850043498E-2</v>
      </c>
      <c r="R57" s="11">
        <f t="shared" si="29"/>
        <v>1.393261985532422E-2</v>
      </c>
      <c r="S57" s="11">
        <f t="shared" si="29"/>
        <v>1.9341148150740201E-2</v>
      </c>
      <c r="T57" s="11">
        <f t="shared" si="29"/>
        <v>2.5710872800425149E-2</v>
      </c>
      <c r="U57" s="11">
        <f t="shared" si="29"/>
        <v>3.156609035194835E-2</v>
      </c>
      <c r="V57" s="11">
        <f t="shared" si="29"/>
        <v>0.10587934088279985</v>
      </c>
      <c r="W57" s="11">
        <f t="shared" si="29"/>
        <v>0.18533543065394753</v>
      </c>
      <c r="X57" s="11">
        <f t="shared" si="29"/>
        <v>0.25145180023228797</v>
      </c>
      <c r="Y57" s="11">
        <f t="shared" si="29"/>
        <v>0.29668152550767712</v>
      </c>
      <c r="Z57" s="11">
        <f t="shared" si="29"/>
        <v>0.28260869565217384</v>
      </c>
      <c r="AA57" s="11">
        <f t="shared" si="29"/>
        <v>0.34782608695652173</v>
      </c>
      <c r="AB57" s="11">
        <f t="shared" si="29"/>
        <v>0.40217391304347822</v>
      </c>
      <c r="AC57" s="11">
        <f t="shared" si="29"/>
        <v>0.47826086956521729</v>
      </c>
      <c r="AD57" s="11">
        <f t="shared" si="29"/>
        <v>0.5795454545454547</v>
      </c>
    </row>
    <row r="58" spans="1:30" ht="15.6" x14ac:dyDescent="0.55000000000000004">
      <c r="C58" s="5"/>
      <c r="D58" s="6" t="s">
        <v>11</v>
      </c>
      <c r="E58" s="11"/>
      <c r="F58" s="11"/>
      <c r="G58" s="11"/>
      <c r="H58" s="11"/>
      <c r="I58" s="11"/>
      <c r="J58" s="11">
        <f t="shared" ref="J58:AD58" si="30">J17/J32</f>
        <v>0</v>
      </c>
      <c r="K58" s="11">
        <f t="shared" si="30"/>
        <v>0</v>
      </c>
      <c r="L58" s="11"/>
      <c r="M58" s="11">
        <f t="shared" si="30"/>
        <v>1.2213010327150539E-4</v>
      </c>
      <c r="N58" s="11">
        <f t="shared" si="30"/>
        <v>1.1050266168400513E-3</v>
      </c>
      <c r="O58" s="11">
        <f t="shared" si="30"/>
        <v>1.1112131923234289E-3</v>
      </c>
      <c r="P58" s="11">
        <f t="shared" si="30"/>
        <v>1.5950860128922397E-3</v>
      </c>
      <c r="Q58" s="11">
        <f t="shared" si="30"/>
        <v>5.9341839437184749E-3</v>
      </c>
      <c r="R58" s="11">
        <f t="shared" si="30"/>
        <v>1.0828310850043498E-2</v>
      </c>
      <c r="S58" s="11">
        <f t="shared" si="30"/>
        <v>1.3932619855324218E-2</v>
      </c>
      <c r="T58" s="11">
        <f t="shared" si="30"/>
        <v>1.9341148150740197E-2</v>
      </c>
      <c r="U58" s="11">
        <f t="shared" si="30"/>
        <v>2.5710872800425149E-2</v>
      </c>
      <c r="V58" s="11">
        <f t="shared" si="30"/>
        <v>3.1566090351948357E-2</v>
      </c>
      <c r="W58" s="11">
        <f t="shared" si="30"/>
        <v>0.10587934088279985</v>
      </c>
      <c r="X58" s="11">
        <f t="shared" si="30"/>
        <v>0.1853354306539475</v>
      </c>
      <c r="Y58" s="11">
        <f t="shared" si="30"/>
        <v>0.25145180023228803</v>
      </c>
      <c r="Z58" s="11">
        <f t="shared" si="30"/>
        <v>0.29668152550767712</v>
      </c>
      <c r="AA58" s="11">
        <f t="shared" si="30"/>
        <v>0.28260869565217378</v>
      </c>
      <c r="AB58" s="11">
        <f t="shared" si="30"/>
        <v>0.34782608695652173</v>
      </c>
      <c r="AC58" s="11">
        <f t="shared" si="30"/>
        <v>0.40217391304347816</v>
      </c>
      <c r="AD58" s="11">
        <f t="shared" si="30"/>
        <v>0.47826086956521724</v>
      </c>
    </row>
    <row r="59" spans="1:30" ht="15.6" x14ac:dyDescent="0.55000000000000004">
      <c r="C59" s="5"/>
      <c r="D59" s="6" t="s">
        <v>12</v>
      </c>
      <c r="E59" s="11"/>
      <c r="F59" s="11"/>
      <c r="G59" s="11"/>
      <c r="H59" s="11"/>
      <c r="I59" s="11"/>
      <c r="J59" s="11">
        <f t="shared" ref="J59:AD59" si="31">J18/J33</f>
        <v>0</v>
      </c>
      <c r="K59" s="11">
        <f t="shared" si="31"/>
        <v>0</v>
      </c>
      <c r="L59" s="11"/>
      <c r="M59" s="11">
        <f t="shared" si="31"/>
        <v>0</v>
      </c>
      <c r="N59" s="11">
        <f t="shared" si="31"/>
        <v>1.2212715576660147E-4</v>
      </c>
      <c r="O59" s="11">
        <f t="shared" si="31"/>
        <v>1.1108246119894787E-3</v>
      </c>
      <c r="P59" s="11">
        <f t="shared" si="31"/>
        <v>1.1112131923234287E-3</v>
      </c>
      <c r="Q59" s="11">
        <f t="shared" si="31"/>
        <v>1.5950860128922397E-3</v>
      </c>
      <c r="R59" s="11">
        <f t="shared" si="31"/>
        <v>5.9341839437184749E-3</v>
      </c>
      <c r="S59" s="11">
        <f t="shared" si="31"/>
        <v>1.0828310850043496E-2</v>
      </c>
      <c r="T59" s="11">
        <f t="shared" si="31"/>
        <v>1.3932619855324218E-2</v>
      </c>
      <c r="U59" s="11">
        <f t="shared" si="31"/>
        <v>1.9341148150740197E-2</v>
      </c>
      <c r="V59" s="11">
        <f t="shared" si="31"/>
        <v>2.5710872800425149E-2</v>
      </c>
      <c r="W59" s="11">
        <f t="shared" si="31"/>
        <v>3.1566090351948357E-2</v>
      </c>
      <c r="X59" s="11">
        <f t="shared" si="31"/>
        <v>0.10587934088279984</v>
      </c>
      <c r="Y59" s="11">
        <f t="shared" si="31"/>
        <v>0.1853354306539475</v>
      </c>
      <c r="Z59" s="11">
        <f t="shared" si="31"/>
        <v>0.25145180023228803</v>
      </c>
      <c r="AA59" s="11">
        <f t="shared" si="31"/>
        <v>0.29668152550767712</v>
      </c>
      <c r="AB59" s="11">
        <f t="shared" si="31"/>
        <v>0.28260869565217378</v>
      </c>
      <c r="AC59" s="11">
        <f t="shared" si="31"/>
        <v>0.34782608695652167</v>
      </c>
      <c r="AD59" s="11">
        <f t="shared" si="31"/>
        <v>0.40217391304347816</v>
      </c>
    </row>
    <row r="60" spans="1:30" ht="15.6" x14ac:dyDescent="0.55000000000000004">
      <c r="C60" s="5"/>
      <c r="D60" s="6" t="s">
        <v>13</v>
      </c>
      <c r="E60" s="11"/>
      <c r="F60" s="11"/>
      <c r="G60" s="11"/>
      <c r="H60" s="11"/>
      <c r="I60" s="11"/>
      <c r="J60" s="11">
        <f t="shared" ref="J60:AD60" si="32">J19/J34</f>
        <v>0</v>
      </c>
      <c r="K60" s="11">
        <f t="shared" si="32"/>
        <v>0</v>
      </c>
      <c r="L60" s="11"/>
      <c r="M60" s="11">
        <f t="shared" si="32"/>
        <v>0</v>
      </c>
      <c r="N60" s="11">
        <f t="shared" si="32"/>
        <v>0</v>
      </c>
      <c r="O60" s="11">
        <f t="shared" si="32"/>
        <v>1.4580478826344078E-5</v>
      </c>
      <c r="P60" s="11">
        <f t="shared" si="32"/>
        <v>1.1108246119894789E-3</v>
      </c>
      <c r="Q60" s="11">
        <f t="shared" si="32"/>
        <v>1.1112131923234287E-3</v>
      </c>
      <c r="R60" s="11">
        <f t="shared" si="32"/>
        <v>1.5950860128922395E-3</v>
      </c>
      <c r="S60" s="11">
        <f t="shared" si="32"/>
        <v>5.9341839437184758E-3</v>
      </c>
      <c r="T60" s="11">
        <f t="shared" si="32"/>
        <v>1.0828310850043496E-2</v>
      </c>
      <c r="U60" s="11">
        <f t="shared" si="32"/>
        <v>1.3932619855324216E-2</v>
      </c>
      <c r="V60" s="11">
        <f t="shared" si="32"/>
        <v>1.9341148150740197E-2</v>
      </c>
      <c r="W60" s="11">
        <f t="shared" si="32"/>
        <v>2.5710872800425146E-2</v>
      </c>
      <c r="X60" s="11">
        <f t="shared" si="32"/>
        <v>3.1566090351948357E-2</v>
      </c>
      <c r="Y60" s="11">
        <f t="shared" si="32"/>
        <v>0.10587934088279982</v>
      </c>
      <c r="Z60" s="11">
        <f t="shared" si="32"/>
        <v>0.18533543065394747</v>
      </c>
      <c r="AA60" s="11">
        <f t="shared" si="32"/>
        <v>0.25145180023228803</v>
      </c>
      <c r="AB60" s="11">
        <f t="shared" si="32"/>
        <v>0.29668152550767712</v>
      </c>
      <c r="AC60" s="11">
        <f t="shared" si="32"/>
        <v>0.28260869565217378</v>
      </c>
      <c r="AD60" s="11">
        <f t="shared" si="32"/>
        <v>0.34782608695652167</v>
      </c>
    </row>
    <row r="61" spans="1:30" ht="15.6" x14ac:dyDescent="0.55000000000000004">
      <c r="D61" s="3" t="s">
        <v>2</v>
      </c>
      <c r="E61" s="11">
        <f t="shared" ref="E61" si="33">SUM(E50:E60)</f>
        <v>0</v>
      </c>
      <c r="F61" s="11">
        <f t="shared" ref="F61" si="34">SUM(F50:F60)</f>
        <v>0</v>
      </c>
      <c r="G61" s="11">
        <f t="shared" ref="G61" si="35">SUM(G50:G60)</f>
        <v>0</v>
      </c>
      <c r="H61" s="11">
        <f t="shared" ref="H61" si="36">SUM(H50:H60)</f>
        <v>0</v>
      </c>
      <c r="I61" s="11">
        <f t="shared" ref="I61" si="37">SUM(I50:I60)</f>
        <v>0</v>
      </c>
      <c r="J61" s="11">
        <f t="shared" ref="J61:AD61" si="38">J20/J35</f>
        <v>1.5022410616134948E-3</v>
      </c>
      <c r="K61" s="11">
        <f t="shared" si="38"/>
        <v>2.52355315621264E-3</v>
      </c>
      <c r="L61" s="11"/>
      <c r="M61" s="11">
        <f t="shared" si="38"/>
        <v>5.4920941209022616E-3</v>
      </c>
      <c r="N61" s="11">
        <f t="shared" si="38"/>
        <v>7.4540668464340414E-3</v>
      </c>
      <c r="O61" s="11">
        <f t="shared" si="38"/>
        <v>1.1909582425132579E-2</v>
      </c>
      <c r="P61" s="11">
        <f t="shared" si="38"/>
        <v>3.2037197794273303E-2</v>
      </c>
      <c r="Q61" s="11">
        <f t="shared" si="38"/>
        <v>5.1040165329001221E-2</v>
      </c>
      <c r="R61" s="11">
        <f t="shared" si="38"/>
        <v>7.6949924034444867E-2</v>
      </c>
      <c r="S61" s="11">
        <f t="shared" si="38"/>
        <v>0.10448618121901317</v>
      </c>
      <c r="T61" s="11">
        <f t="shared" si="38"/>
        <v>0.1388037336941787</v>
      </c>
      <c r="U61" s="11">
        <f t="shared" si="38"/>
        <v>0.17921781500552314</v>
      </c>
      <c r="V61" s="11">
        <f t="shared" si="38"/>
        <v>0.22804955515268316</v>
      </c>
      <c r="W61" s="11">
        <f t="shared" si="38"/>
        <v>0.2841521525674166</v>
      </c>
      <c r="X61" s="11">
        <f t="shared" si="38"/>
        <v>0.35155048276549433</v>
      </c>
      <c r="Y61" s="11">
        <f t="shared" si="38"/>
        <v>0.43064455897527404</v>
      </c>
      <c r="Z61" s="11">
        <f t="shared" si="38"/>
        <v>0.49934250373535288</v>
      </c>
      <c r="AA61" s="11">
        <f t="shared" si="38"/>
        <v>0.56176107772658956</v>
      </c>
      <c r="AB61" s="11">
        <f t="shared" si="38"/>
        <v>0.62063312658451131</v>
      </c>
      <c r="AC61" s="11">
        <f t="shared" si="38"/>
        <v>0.68001197420646808</v>
      </c>
      <c r="AD61" s="11">
        <f t="shared" si="38"/>
        <v>0.74623922256104747</v>
      </c>
    </row>
    <row r="64" spans="1:30" x14ac:dyDescent="0.55000000000000004">
      <c r="P64" s="3">
        <v>2023</v>
      </c>
      <c r="S64" s="3">
        <v>2024</v>
      </c>
      <c r="V64" s="3">
        <v>2025</v>
      </c>
    </row>
    <row r="66" spans="15:23" x14ac:dyDescent="0.55000000000000004">
      <c r="P66" s="3" t="s">
        <v>21</v>
      </c>
      <c r="Q66" s="3" t="s">
        <v>33</v>
      </c>
      <c r="S66" s="3" t="s">
        <v>21</v>
      </c>
      <c r="T66" s="3" t="s">
        <v>33</v>
      </c>
      <c r="V66" s="3" t="s">
        <v>21</v>
      </c>
      <c r="W66" s="3" t="s">
        <v>33</v>
      </c>
    </row>
    <row r="67" spans="15:23" x14ac:dyDescent="0.55000000000000004">
      <c r="O67" s="6" t="s">
        <v>22</v>
      </c>
      <c r="P67" s="12">
        <f>R50</f>
        <v>0.29668152550767707</v>
      </c>
      <c r="Q67" s="13">
        <f>R9</f>
        <v>595463.73078469292</v>
      </c>
      <c r="S67" s="12">
        <f>S50</f>
        <v>0.28260869565217389</v>
      </c>
      <c r="T67" s="13">
        <f>S9</f>
        <v>646162.64609357319</v>
      </c>
      <c r="V67" s="12">
        <f>T50</f>
        <v>0.34782608695652173</v>
      </c>
      <c r="W67" s="13">
        <f>T9</f>
        <v>795277.10288439784</v>
      </c>
    </row>
    <row r="68" spans="15:23" x14ac:dyDescent="0.55000000000000004">
      <c r="O68" s="6" t="s">
        <v>23</v>
      </c>
      <c r="P68" s="12">
        <f t="shared" ref="P68:P78" si="39">R51</f>
        <v>0.25145180023228808</v>
      </c>
      <c r="Q68" s="13">
        <f t="shared" ref="Q68:Q78" si="40">R10</f>
        <v>428682.19757975754</v>
      </c>
      <c r="S68" s="12">
        <f t="shared" ref="S68:S78" si="41">S51</f>
        <v>0.29668152550767707</v>
      </c>
      <c r="T68" s="13">
        <f t="shared" ref="T68:T78" si="42">S10</f>
        <v>593026.87378816342</v>
      </c>
      <c r="V68" s="12">
        <f t="shared" ref="V68:V78" si="43">T51</f>
        <v>0.28260869565217389</v>
      </c>
      <c r="W68" s="13">
        <f t="shared" ref="W68:W78" si="44">T10</f>
        <v>643518.31045460131</v>
      </c>
    </row>
    <row r="69" spans="15:23" x14ac:dyDescent="0.55000000000000004">
      <c r="O69" s="6" t="s">
        <v>24</v>
      </c>
      <c r="P69" s="12">
        <f t="shared" si="39"/>
        <v>0.18533543065394756</v>
      </c>
      <c r="Q69" s="13">
        <f t="shared" si="40"/>
        <v>299772.15599012055</v>
      </c>
      <c r="S69" s="12">
        <f t="shared" si="41"/>
        <v>0.25145180023228803</v>
      </c>
      <c r="T69" s="13">
        <f t="shared" si="42"/>
        <v>425186.44640092965</v>
      </c>
      <c r="V69" s="12">
        <f t="shared" si="43"/>
        <v>0.29668152550767707</v>
      </c>
      <c r="W69" s="13">
        <f t="shared" si="44"/>
        <v>588190.95010197896</v>
      </c>
    </row>
    <row r="70" spans="15:23" x14ac:dyDescent="0.55000000000000004">
      <c r="O70" s="6" t="s">
        <v>25</v>
      </c>
      <c r="P70" s="12">
        <f t="shared" si="39"/>
        <v>0.10587934088279986</v>
      </c>
      <c r="Q70" s="13">
        <f t="shared" si="40"/>
        <v>170252.06543806006</v>
      </c>
      <c r="S70" s="12">
        <f t="shared" si="41"/>
        <v>0.18533543065394756</v>
      </c>
      <c r="T70" s="13">
        <f t="shared" si="42"/>
        <v>296424.18850909616</v>
      </c>
      <c r="V70" s="12">
        <f t="shared" si="43"/>
        <v>0.25145180023228803</v>
      </c>
      <c r="W70" s="13">
        <f t="shared" si="44"/>
        <v>420437.80524971627</v>
      </c>
    </row>
    <row r="71" spans="15:23" x14ac:dyDescent="0.55000000000000004">
      <c r="O71" s="6" t="s">
        <v>26</v>
      </c>
      <c r="P71" s="12">
        <f t="shared" si="39"/>
        <v>3.1566090351948357E-2</v>
      </c>
      <c r="Q71" s="13">
        <f t="shared" si="40"/>
        <v>69590.330455304691</v>
      </c>
      <c r="S71" s="12">
        <f t="shared" si="41"/>
        <v>0.10587934088279986</v>
      </c>
      <c r="T71" s="13">
        <f t="shared" si="42"/>
        <v>168107.28193131642</v>
      </c>
      <c r="V71" s="12">
        <f t="shared" si="43"/>
        <v>0.18533543065394756</v>
      </c>
      <c r="W71" s="13">
        <f t="shared" si="44"/>
        <v>292689.92714270187</v>
      </c>
    </row>
    <row r="72" spans="15:23" x14ac:dyDescent="0.55000000000000004">
      <c r="O72" s="6" t="s">
        <v>27</v>
      </c>
      <c r="P72" s="12">
        <f t="shared" si="39"/>
        <v>2.5710872800425142E-2</v>
      </c>
      <c r="Q72" s="13">
        <f t="shared" si="40"/>
        <v>56848.562862908322</v>
      </c>
      <c r="S72" s="12">
        <f t="shared" si="41"/>
        <v>3.156609035194835E-2</v>
      </c>
      <c r="T72" s="13">
        <f t="shared" si="42"/>
        <v>68873.76419758203</v>
      </c>
      <c r="V72" s="12">
        <f t="shared" si="43"/>
        <v>0.10587934088279985</v>
      </c>
      <c r="W72" s="13">
        <f t="shared" si="44"/>
        <v>166376.29423343763</v>
      </c>
    </row>
    <row r="73" spans="15:23" x14ac:dyDescent="0.55000000000000004">
      <c r="O73" s="6" t="s">
        <v>28</v>
      </c>
      <c r="P73" s="12">
        <f t="shared" si="39"/>
        <v>1.9341148150740197E-2</v>
      </c>
      <c r="Q73" s="13">
        <f t="shared" si="40"/>
        <v>44390.282718848866</v>
      </c>
      <c r="S73" s="12">
        <f t="shared" si="41"/>
        <v>2.5710872800425146E-2</v>
      </c>
      <c r="T73" s="13">
        <f t="shared" si="42"/>
        <v>56269.517973233924</v>
      </c>
      <c r="V73" s="12">
        <f t="shared" si="43"/>
        <v>3.156609035194835E-2</v>
      </c>
      <c r="W73" s="13">
        <f t="shared" si="44"/>
        <v>68172.233689459536</v>
      </c>
    </row>
    <row r="74" spans="15:23" x14ac:dyDescent="0.55000000000000004">
      <c r="O74" s="6" t="s">
        <v>29</v>
      </c>
      <c r="P74" s="12">
        <f t="shared" si="39"/>
        <v>1.393261985532422E-2</v>
      </c>
      <c r="Q74" s="13">
        <f t="shared" si="40"/>
        <v>34236.688130153656</v>
      </c>
      <c r="S74" s="12">
        <f t="shared" si="41"/>
        <v>1.9341148150740201E-2</v>
      </c>
      <c r="T74" s="13">
        <f t="shared" si="42"/>
        <v>43843.406158600068</v>
      </c>
      <c r="V74" s="12">
        <f t="shared" si="43"/>
        <v>2.5710872800425149E-2</v>
      </c>
      <c r="W74" s="13">
        <f t="shared" si="44"/>
        <v>55576.292371789546</v>
      </c>
    </row>
    <row r="75" spans="15:23" x14ac:dyDescent="0.55000000000000004">
      <c r="O75" s="6" t="s">
        <v>30</v>
      </c>
      <c r="P75" s="12">
        <f t="shared" si="39"/>
        <v>1.0828310850043498E-2</v>
      </c>
      <c r="Q75" s="13">
        <f t="shared" si="40"/>
        <v>25715.832260610365</v>
      </c>
      <c r="S75" s="12">
        <f t="shared" si="41"/>
        <v>1.3932619855324218E-2</v>
      </c>
      <c r="T75" s="13">
        <f t="shared" si="42"/>
        <v>33670.15117221322</v>
      </c>
      <c r="V75" s="12">
        <f t="shared" si="43"/>
        <v>1.9341148150740197E-2</v>
      </c>
      <c r="W75" s="13">
        <f t="shared" si="44"/>
        <v>43117.900529772509</v>
      </c>
    </row>
    <row r="76" spans="15:23" x14ac:dyDescent="0.55000000000000004">
      <c r="O76" s="6" t="s">
        <v>31</v>
      </c>
      <c r="P76" s="12">
        <f t="shared" si="39"/>
        <v>5.9341839437184749E-3</v>
      </c>
      <c r="Q76" s="13">
        <f t="shared" si="40"/>
        <v>12957.20614562124</v>
      </c>
      <c r="S76" s="12">
        <f t="shared" si="41"/>
        <v>1.0828310850043496E-2</v>
      </c>
      <c r="T76" s="13">
        <f t="shared" si="42"/>
        <v>25157.578649453884</v>
      </c>
      <c r="V76" s="12">
        <f t="shared" si="43"/>
        <v>1.3932619855324218E-2</v>
      </c>
      <c r="W76" s="13">
        <f t="shared" si="44"/>
        <v>32939.220775343907</v>
      </c>
    </row>
    <row r="77" spans="15:23" x14ac:dyDescent="0.55000000000000004">
      <c r="O77" s="6" t="s">
        <v>32</v>
      </c>
      <c r="P77" s="12">
        <f t="shared" si="39"/>
        <v>1.5950860128922395E-3</v>
      </c>
      <c r="Q77" s="13">
        <f t="shared" si="40"/>
        <v>3129.2541153840843</v>
      </c>
      <c r="S77" s="12">
        <f t="shared" si="41"/>
        <v>5.9341839437184758E-3</v>
      </c>
      <c r="T77" s="13">
        <f t="shared" si="42"/>
        <v>12675.923897083183</v>
      </c>
      <c r="V77" s="12">
        <f t="shared" si="43"/>
        <v>1.0828310850043496E-2</v>
      </c>
      <c r="W77" s="13">
        <f t="shared" si="44"/>
        <v>24611.443918651381</v>
      </c>
    </row>
    <row r="78" spans="15:23" x14ac:dyDescent="0.55000000000000004">
      <c r="O78" s="3" t="s">
        <v>2</v>
      </c>
      <c r="P78" s="12">
        <f t="shared" si="39"/>
        <v>7.6949924034444867E-2</v>
      </c>
      <c r="Q78" s="13">
        <f t="shared" si="40"/>
        <v>1741038.306481462</v>
      </c>
      <c r="S78" s="12">
        <f t="shared" si="41"/>
        <v>0.10448618121901317</v>
      </c>
      <c r="T78" s="13">
        <f t="shared" si="42"/>
        <v>2369397.7787712449</v>
      </c>
      <c r="V78" s="12">
        <f t="shared" si="43"/>
        <v>0.1388037336941787</v>
      </c>
      <c r="W78" s="13">
        <f t="shared" si="44"/>
        <v>3130907.481351851</v>
      </c>
    </row>
  </sheetData>
  <mergeCells count="1">
    <mergeCell ref="A5:A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6a2c09-0586-4e0e-8bce-b448d16a3d95" xsi:nil="true"/>
    <lcf76f155ced4ddcb4097134ff3c332f xmlns="80686136-bf63-4c80-a8a0-fc944c3b7e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4FA7C532DB488B2A6834403F0C84" ma:contentTypeVersion="10" ma:contentTypeDescription="Create a new document." ma:contentTypeScope="" ma:versionID="a063b648dda79204c03edc632759ed5c">
  <xsd:schema xmlns:xsd="http://www.w3.org/2001/XMLSchema" xmlns:xs="http://www.w3.org/2001/XMLSchema" xmlns:p="http://schemas.microsoft.com/office/2006/metadata/properties" xmlns:ns2="80686136-bf63-4c80-a8a0-fc944c3b7ed6" xmlns:ns3="b26a2c09-0586-4e0e-8bce-b448d16a3d95" targetNamespace="http://schemas.microsoft.com/office/2006/metadata/properties" ma:root="true" ma:fieldsID="ccc73d063b89ee75b7c09db7a46b31db" ns2:_="" ns3:_="">
    <xsd:import namespace="80686136-bf63-4c80-a8a0-fc944c3b7ed6"/>
    <xsd:import namespace="b26a2c09-0586-4e0e-8bce-b448d16a3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86136-bf63-4c80-a8a0-fc944c3b7e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bfbdd4-439c-4d2c-b8a8-98ece9e721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a2c09-0586-4e0e-8bce-b448d16a3d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e21771-f71d-411c-9355-85113f7b743d}" ma:internalName="TaxCatchAll" ma:showField="CatchAllData" ma:web="b26a2c09-0586-4e0e-8bce-b448d16a3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3CC8B3-AF01-4EBF-968B-E053287546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162F0-4DE8-4F9B-B4BE-BE9D324B0C58}">
  <ds:schemaRefs>
    <ds:schemaRef ds:uri="http://schemas.microsoft.com/office/infopath/2007/PartnerControls"/>
    <ds:schemaRef ds:uri="http://purl.org/dc/dcmitype/"/>
    <ds:schemaRef ds:uri="b26a2c09-0586-4e0e-8bce-b448d16a3d95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80686136-bf63-4c80-a8a0-fc944c3b7ed6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67754D3-69CA-484D-AEBC-F29873156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686136-bf63-4c80-a8a0-fc944c3b7ed6"/>
    <ds:schemaRef ds:uri="b26a2c09-0586-4e0e-8bce-b448d16a3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Akhtar, Umar (CAI - Leeds)</dc:creator>
  <cp:lastModifiedBy>Gupta, Prashansa (CAI - Home Based/Remote)</cp:lastModifiedBy>
  <dcterms:created xsi:type="dcterms:W3CDTF">2022-06-24T15:42:04Z</dcterms:created>
  <dcterms:modified xsi:type="dcterms:W3CDTF">2022-07-13T23:23:58Z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0x0101003A8A4FA7C532DB488B2A6834403F0C84</vt:lpwstr>
  </property>
  <property fmtid="{D5CDD505-2E9C-101B-9397-08002B2CF9AE}" pid="3" name="MediaServiceImageTags">
    <vt:lpwstr/>
  </property>
</Properties>
</file>