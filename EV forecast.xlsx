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coxautoinceur-my.sharepoint.com/personal/prashansa_gupta_coxautoinc_com/Documents/Desktop/"/>
    </mc:Choice>
  </mc:AlternateContent>
  <xr:revisionPtr revIDLastSave="1112" documentId="11_F25DC773A252ABDACC10485491DD70125BDE5909" xr6:coauthVersionLast="47" xr6:coauthVersionMax="47" xr10:uidLastSave="{F9D69BC2-C2F6-429B-A481-92104B8563C1}"/>
  <bookViews>
    <workbookView xWindow="-96" yWindow="-96" windowWidth="23232" windowHeight="13992" xr2:uid="{00000000-000D-0000-FFFF-FFFF00000000}"/>
  </bookViews>
  <sheets>
    <sheet name="Forecast - summary" sheetId="4" r:id="rId1"/>
    <sheet name="EV forecast data" sheetId="1" r:id="rId2"/>
    <sheet name="EV historic" sheetId="3" r:id="rId3"/>
    <sheet name="Umar's EV forecast" sheetId="2" r:id="rId4"/>
    <sheet name="branch forecasts" sheetId="5" r:id="rId5"/>
    <sheet name="PHEV and BEV volumes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1" i="6" l="1"/>
  <c r="R52" i="6"/>
  <c r="R53" i="6"/>
  <c r="R54" i="6"/>
  <c r="R55" i="6"/>
  <c r="R56" i="6"/>
  <c r="R57" i="6"/>
  <c r="R58" i="6"/>
  <c r="R59" i="6"/>
  <c r="R60" i="6"/>
  <c r="Q52" i="6"/>
  <c r="Q53" i="6"/>
  <c r="Q54" i="6"/>
  <c r="Q55" i="6"/>
  <c r="Q56" i="6"/>
  <c r="Q57" i="6"/>
  <c r="Q58" i="6"/>
  <c r="Q59" i="6"/>
  <c r="Q60" i="6"/>
  <c r="Q61" i="6"/>
  <c r="P52" i="6"/>
  <c r="P53" i="6"/>
  <c r="P54" i="6"/>
  <c r="P55" i="6"/>
  <c r="P56" i="6"/>
  <c r="P57" i="6"/>
  <c r="P58" i="6"/>
  <c r="P59" i="6"/>
  <c r="P60" i="6"/>
  <c r="P61" i="6"/>
  <c r="O52" i="6"/>
  <c r="O53" i="6"/>
  <c r="O54" i="6"/>
  <c r="O55" i="6"/>
  <c r="O56" i="6"/>
  <c r="O57" i="6"/>
  <c r="O58" i="6"/>
  <c r="O59" i="6"/>
  <c r="O60" i="6"/>
  <c r="O61" i="6"/>
  <c r="N52" i="6"/>
  <c r="N53" i="6"/>
  <c r="N54" i="6"/>
  <c r="N55" i="6"/>
  <c r="N56" i="6"/>
  <c r="N57" i="6"/>
  <c r="N58" i="6"/>
  <c r="N59" i="6"/>
  <c r="N60" i="6"/>
  <c r="N61" i="6"/>
  <c r="M52" i="6"/>
  <c r="M53" i="6"/>
  <c r="M54" i="6"/>
  <c r="M55" i="6"/>
  <c r="M56" i="6"/>
  <c r="M57" i="6"/>
  <c r="M58" i="6"/>
  <c r="M59" i="6"/>
  <c r="M60" i="6"/>
  <c r="M61" i="6"/>
  <c r="L52" i="6"/>
  <c r="L53" i="6"/>
  <c r="L54" i="6"/>
  <c r="L55" i="6"/>
  <c r="L56" i="6"/>
  <c r="L57" i="6"/>
  <c r="L58" i="6"/>
  <c r="L59" i="6"/>
  <c r="L60" i="6"/>
  <c r="L61" i="6"/>
  <c r="K52" i="6"/>
  <c r="K53" i="6"/>
  <c r="K54" i="6"/>
  <c r="K55" i="6"/>
  <c r="K56" i="6"/>
  <c r="K57" i="6"/>
  <c r="K58" i="6"/>
  <c r="K59" i="6"/>
  <c r="K60" i="6"/>
  <c r="K61" i="6"/>
  <c r="J52" i="6"/>
  <c r="J53" i="6"/>
  <c r="J54" i="6"/>
  <c r="J55" i="6"/>
  <c r="J56" i="6"/>
  <c r="J57" i="6"/>
  <c r="J58" i="6"/>
  <c r="J59" i="6"/>
  <c r="J60" i="6"/>
  <c r="J61" i="6"/>
  <c r="I52" i="6"/>
  <c r="I53" i="6"/>
  <c r="I54" i="6"/>
  <c r="I55" i="6"/>
  <c r="I56" i="6"/>
  <c r="I57" i="6"/>
  <c r="I58" i="6"/>
  <c r="I59" i="6"/>
  <c r="I60" i="6"/>
  <c r="I61" i="6"/>
  <c r="H52" i="6"/>
  <c r="H53" i="6"/>
  <c r="H54" i="6"/>
  <c r="H55" i="6"/>
  <c r="H56" i="6"/>
  <c r="H57" i="6"/>
  <c r="H58" i="6"/>
  <c r="H59" i="6"/>
  <c r="H60" i="6"/>
  <c r="H61" i="6"/>
  <c r="G52" i="6"/>
  <c r="G53" i="6"/>
  <c r="G54" i="6"/>
  <c r="G55" i="6"/>
  <c r="G56" i="6"/>
  <c r="G57" i="6"/>
  <c r="G58" i="6"/>
  <c r="G59" i="6"/>
  <c r="G60" i="6"/>
  <c r="G61" i="6"/>
  <c r="F52" i="6"/>
  <c r="F53" i="6"/>
  <c r="F54" i="6"/>
  <c r="F55" i="6"/>
  <c r="F56" i="6"/>
  <c r="F57" i="6"/>
  <c r="F58" i="6"/>
  <c r="F59" i="6"/>
  <c r="F60" i="6"/>
  <c r="F61" i="6"/>
  <c r="E52" i="6"/>
  <c r="E53" i="6"/>
  <c r="E54" i="6"/>
  <c r="E55" i="6"/>
  <c r="E56" i="6"/>
  <c r="E57" i="6"/>
  <c r="E58" i="6"/>
  <c r="E59" i="6"/>
  <c r="E60" i="6"/>
  <c r="E61" i="6"/>
  <c r="D52" i="6"/>
  <c r="D53" i="6"/>
  <c r="D54" i="6"/>
  <c r="D55" i="6"/>
  <c r="D56" i="6"/>
  <c r="D57" i="6"/>
  <c r="D58" i="6"/>
  <c r="D59" i="6"/>
  <c r="D60" i="6"/>
  <c r="D61" i="6"/>
  <c r="C52" i="6"/>
  <c r="C53" i="6"/>
  <c r="C54" i="6"/>
  <c r="C55" i="6"/>
  <c r="C56" i="6"/>
  <c r="C57" i="6"/>
  <c r="C58" i="6"/>
  <c r="C59" i="6"/>
  <c r="C60" i="6"/>
  <c r="C61" i="6"/>
  <c r="B52" i="6"/>
  <c r="B53" i="6"/>
  <c r="B54" i="6"/>
  <c r="B55" i="6"/>
  <c r="B56" i="6"/>
  <c r="B57" i="6"/>
  <c r="B58" i="6"/>
  <c r="B59" i="6"/>
  <c r="B60" i="6"/>
  <c r="B61" i="6"/>
  <c r="R38" i="6"/>
  <c r="R39" i="6"/>
  <c r="R40" i="6"/>
  <c r="R41" i="6"/>
  <c r="R42" i="6"/>
  <c r="R43" i="6"/>
  <c r="R44" i="6"/>
  <c r="R45" i="6"/>
  <c r="R46" i="6"/>
  <c r="R47" i="6"/>
  <c r="Q38" i="6"/>
  <c r="Q39" i="6"/>
  <c r="Q40" i="6"/>
  <c r="Q41" i="6"/>
  <c r="Q42" i="6"/>
  <c r="Q43" i="6"/>
  <c r="Q44" i="6"/>
  <c r="Q45" i="6"/>
  <c r="Q46" i="6"/>
  <c r="Q47" i="6"/>
  <c r="P38" i="6"/>
  <c r="P39" i="6"/>
  <c r="P40" i="6"/>
  <c r="P41" i="6"/>
  <c r="P42" i="6"/>
  <c r="P43" i="6"/>
  <c r="P44" i="6"/>
  <c r="P45" i="6"/>
  <c r="P46" i="6"/>
  <c r="P47" i="6"/>
  <c r="O38" i="6"/>
  <c r="O39" i="6"/>
  <c r="O40" i="6"/>
  <c r="O41" i="6"/>
  <c r="O42" i="6"/>
  <c r="O43" i="6"/>
  <c r="O44" i="6"/>
  <c r="O45" i="6"/>
  <c r="O46" i="6"/>
  <c r="O47" i="6"/>
  <c r="N38" i="6"/>
  <c r="N39" i="6"/>
  <c r="N40" i="6"/>
  <c r="N41" i="6"/>
  <c r="N42" i="6"/>
  <c r="N43" i="6"/>
  <c r="N44" i="6"/>
  <c r="N45" i="6"/>
  <c r="N46" i="6"/>
  <c r="N47" i="6"/>
  <c r="M38" i="6"/>
  <c r="M39" i="6"/>
  <c r="M40" i="6"/>
  <c r="M41" i="6"/>
  <c r="M42" i="6"/>
  <c r="M43" i="6"/>
  <c r="M44" i="6"/>
  <c r="M45" i="6"/>
  <c r="M46" i="6"/>
  <c r="M47" i="6"/>
  <c r="L38" i="6"/>
  <c r="L39" i="6"/>
  <c r="L40" i="6"/>
  <c r="L41" i="6"/>
  <c r="L42" i="6"/>
  <c r="L43" i="6"/>
  <c r="L44" i="6"/>
  <c r="L45" i="6"/>
  <c r="L46" i="6"/>
  <c r="L47" i="6"/>
  <c r="K38" i="6"/>
  <c r="K39" i="6"/>
  <c r="K40" i="6"/>
  <c r="K41" i="6"/>
  <c r="K42" i="6"/>
  <c r="K43" i="6"/>
  <c r="K44" i="6"/>
  <c r="K45" i="6"/>
  <c r="K46" i="6"/>
  <c r="K47" i="6"/>
  <c r="J38" i="6"/>
  <c r="J39" i="6"/>
  <c r="J40" i="6"/>
  <c r="J41" i="6"/>
  <c r="J42" i="6"/>
  <c r="J43" i="6"/>
  <c r="J44" i="6"/>
  <c r="J45" i="6"/>
  <c r="J46" i="6"/>
  <c r="J47" i="6"/>
  <c r="I38" i="6"/>
  <c r="I39" i="6"/>
  <c r="I40" i="6"/>
  <c r="I41" i="6"/>
  <c r="I42" i="6"/>
  <c r="I43" i="6"/>
  <c r="I44" i="6"/>
  <c r="I45" i="6"/>
  <c r="I46" i="6"/>
  <c r="I47" i="6"/>
  <c r="H38" i="6"/>
  <c r="H39" i="6"/>
  <c r="H40" i="6"/>
  <c r="H41" i="6"/>
  <c r="H42" i="6"/>
  <c r="H43" i="6"/>
  <c r="H44" i="6"/>
  <c r="H45" i="6"/>
  <c r="H46" i="6"/>
  <c r="H47" i="6"/>
  <c r="G38" i="6"/>
  <c r="G39" i="6"/>
  <c r="G40" i="6"/>
  <c r="G41" i="6"/>
  <c r="G42" i="6"/>
  <c r="G43" i="6"/>
  <c r="G44" i="6"/>
  <c r="G45" i="6"/>
  <c r="G46" i="6"/>
  <c r="G47" i="6"/>
  <c r="F38" i="6"/>
  <c r="F39" i="6"/>
  <c r="F40" i="6"/>
  <c r="F41" i="6"/>
  <c r="F42" i="6"/>
  <c r="F43" i="6"/>
  <c r="F44" i="6"/>
  <c r="F45" i="6"/>
  <c r="F46" i="6"/>
  <c r="F47" i="6"/>
  <c r="E38" i="6"/>
  <c r="E39" i="6"/>
  <c r="E40" i="6"/>
  <c r="E41" i="6"/>
  <c r="E42" i="6"/>
  <c r="E43" i="6"/>
  <c r="E44" i="6"/>
  <c r="E45" i="6"/>
  <c r="E46" i="6"/>
  <c r="E47" i="6"/>
  <c r="D38" i="6"/>
  <c r="D39" i="6"/>
  <c r="D40" i="6"/>
  <c r="D41" i="6"/>
  <c r="D42" i="6"/>
  <c r="D43" i="6"/>
  <c r="D44" i="6"/>
  <c r="D45" i="6"/>
  <c r="D46" i="6"/>
  <c r="D47" i="6"/>
  <c r="C38" i="6"/>
  <c r="C39" i="6"/>
  <c r="C40" i="6"/>
  <c r="C41" i="6"/>
  <c r="C42" i="6"/>
  <c r="C43" i="6"/>
  <c r="C44" i="6"/>
  <c r="C45" i="6"/>
  <c r="C46" i="6"/>
  <c r="C47" i="6"/>
  <c r="B38" i="6"/>
  <c r="B39" i="6"/>
  <c r="B40" i="6"/>
  <c r="B41" i="6"/>
  <c r="B42" i="6"/>
  <c r="B43" i="6"/>
  <c r="B44" i="6"/>
  <c r="B45" i="6"/>
  <c r="B46" i="6"/>
  <c r="B47" i="6"/>
  <c r="R24" i="6"/>
  <c r="R25" i="6"/>
  <c r="R26" i="6"/>
  <c r="R27" i="6"/>
  <c r="R28" i="6"/>
  <c r="R29" i="6"/>
  <c r="R30" i="6"/>
  <c r="R31" i="6"/>
  <c r="R32" i="6"/>
  <c r="R33" i="6"/>
  <c r="Q24" i="6"/>
  <c r="Q25" i="6"/>
  <c r="Q26" i="6"/>
  <c r="Q27" i="6"/>
  <c r="Q28" i="6"/>
  <c r="Q29" i="6"/>
  <c r="Q30" i="6"/>
  <c r="Q31" i="6"/>
  <c r="Q32" i="6"/>
  <c r="Q33" i="6"/>
  <c r="P24" i="6"/>
  <c r="P25" i="6"/>
  <c r="P26" i="6"/>
  <c r="P27" i="6"/>
  <c r="P28" i="6"/>
  <c r="P29" i="6"/>
  <c r="P30" i="6"/>
  <c r="P31" i="6"/>
  <c r="P32" i="6"/>
  <c r="P33" i="6"/>
  <c r="O24" i="6"/>
  <c r="O25" i="6"/>
  <c r="O26" i="6"/>
  <c r="O27" i="6"/>
  <c r="O28" i="6"/>
  <c r="O29" i="6"/>
  <c r="O30" i="6"/>
  <c r="O31" i="6"/>
  <c r="O32" i="6"/>
  <c r="O33" i="6"/>
  <c r="N24" i="6"/>
  <c r="N25" i="6"/>
  <c r="N26" i="6"/>
  <c r="N27" i="6"/>
  <c r="N28" i="6"/>
  <c r="N29" i="6"/>
  <c r="N30" i="6"/>
  <c r="N31" i="6"/>
  <c r="N32" i="6"/>
  <c r="N33" i="6"/>
  <c r="M24" i="6"/>
  <c r="M25" i="6"/>
  <c r="M26" i="6"/>
  <c r="M27" i="6"/>
  <c r="M28" i="6"/>
  <c r="M29" i="6"/>
  <c r="M30" i="6"/>
  <c r="M31" i="6"/>
  <c r="M32" i="6"/>
  <c r="M33" i="6"/>
  <c r="L24" i="6"/>
  <c r="L25" i="6"/>
  <c r="L26" i="6"/>
  <c r="L27" i="6"/>
  <c r="L28" i="6"/>
  <c r="L29" i="6"/>
  <c r="L30" i="6"/>
  <c r="L31" i="6"/>
  <c r="L32" i="6"/>
  <c r="L33" i="6"/>
  <c r="K24" i="6"/>
  <c r="K25" i="6"/>
  <c r="K26" i="6"/>
  <c r="K27" i="6"/>
  <c r="K28" i="6"/>
  <c r="K29" i="6"/>
  <c r="K30" i="6"/>
  <c r="K31" i="6"/>
  <c r="K32" i="6"/>
  <c r="K33" i="6"/>
  <c r="J24" i="6"/>
  <c r="J25" i="6"/>
  <c r="J26" i="6"/>
  <c r="J27" i="6"/>
  <c r="J28" i="6"/>
  <c r="J29" i="6"/>
  <c r="J30" i="6"/>
  <c r="J31" i="6"/>
  <c r="J32" i="6"/>
  <c r="J33" i="6"/>
  <c r="I33" i="6"/>
  <c r="I24" i="6"/>
  <c r="I25" i="6"/>
  <c r="I26" i="6"/>
  <c r="I27" i="6"/>
  <c r="I28" i="6"/>
  <c r="I29" i="6"/>
  <c r="I30" i="6"/>
  <c r="I31" i="6"/>
  <c r="I32" i="6"/>
  <c r="H24" i="6"/>
  <c r="H25" i="6"/>
  <c r="H26" i="6"/>
  <c r="H27" i="6"/>
  <c r="H28" i="6"/>
  <c r="H29" i="6"/>
  <c r="H30" i="6"/>
  <c r="H31" i="6"/>
  <c r="H32" i="6"/>
  <c r="H33" i="6"/>
  <c r="G24" i="6"/>
  <c r="G25" i="6"/>
  <c r="G26" i="6"/>
  <c r="G27" i="6"/>
  <c r="G28" i="6"/>
  <c r="G29" i="6"/>
  <c r="G30" i="6"/>
  <c r="G31" i="6"/>
  <c r="G32" i="6"/>
  <c r="G33" i="6"/>
  <c r="F24" i="6"/>
  <c r="F25" i="6"/>
  <c r="F26" i="6"/>
  <c r="F27" i="6"/>
  <c r="F28" i="6"/>
  <c r="F29" i="6"/>
  <c r="F30" i="6"/>
  <c r="F31" i="6"/>
  <c r="F32" i="6"/>
  <c r="F33" i="6"/>
  <c r="E24" i="6"/>
  <c r="E25" i="6"/>
  <c r="E26" i="6"/>
  <c r="E27" i="6"/>
  <c r="E28" i="6"/>
  <c r="E29" i="6"/>
  <c r="E30" i="6"/>
  <c r="E31" i="6"/>
  <c r="E32" i="6"/>
  <c r="E33" i="6"/>
  <c r="D24" i="6"/>
  <c r="D25" i="6"/>
  <c r="D26" i="6"/>
  <c r="D27" i="6"/>
  <c r="D28" i="6"/>
  <c r="D29" i="6"/>
  <c r="D30" i="6"/>
  <c r="D31" i="6"/>
  <c r="D32" i="6"/>
  <c r="D33" i="6"/>
  <c r="C24" i="6"/>
  <c r="C25" i="6"/>
  <c r="C26" i="6"/>
  <c r="C27" i="6"/>
  <c r="C28" i="6"/>
  <c r="C29" i="6"/>
  <c r="C30" i="6"/>
  <c r="C31" i="6"/>
  <c r="C32" i="6"/>
  <c r="C33" i="6"/>
  <c r="B24" i="6"/>
  <c r="B25" i="6"/>
  <c r="B26" i="6"/>
  <c r="B27" i="6"/>
  <c r="B28" i="6"/>
  <c r="B29" i="6"/>
  <c r="B30" i="6"/>
  <c r="B31" i="6"/>
  <c r="B32" i="6"/>
  <c r="B33" i="6"/>
  <c r="R10" i="6"/>
  <c r="R11" i="6"/>
  <c r="R12" i="6"/>
  <c r="R13" i="6"/>
  <c r="R14" i="6"/>
  <c r="R15" i="6"/>
  <c r="R16" i="6"/>
  <c r="R17" i="6"/>
  <c r="R18" i="6"/>
  <c r="R19" i="6"/>
  <c r="Q10" i="6"/>
  <c r="Q11" i="6"/>
  <c r="Q12" i="6"/>
  <c r="Q13" i="6"/>
  <c r="Q14" i="6"/>
  <c r="Q15" i="6"/>
  <c r="Q16" i="6"/>
  <c r="Q17" i="6"/>
  <c r="Q18" i="6"/>
  <c r="Q19" i="6"/>
  <c r="P10" i="6"/>
  <c r="P11" i="6"/>
  <c r="P12" i="6"/>
  <c r="P13" i="6"/>
  <c r="P14" i="6"/>
  <c r="P15" i="6"/>
  <c r="P16" i="6"/>
  <c r="P17" i="6"/>
  <c r="P18" i="6"/>
  <c r="P19" i="6"/>
  <c r="O10" i="6"/>
  <c r="O11" i="6"/>
  <c r="O12" i="6"/>
  <c r="O13" i="6"/>
  <c r="O14" i="6"/>
  <c r="O15" i="6"/>
  <c r="O16" i="6"/>
  <c r="O17" i="6"/>
  <c r="O18" i="6"/>
  <c r="O19" i="6"/>
  <c r="N10" i="6"/>
  <c r="N11" i="6"/>
  <c r="N12" i="6"/>
  <c r="N13" i="6"/>
  <c r="N14" i="6"/>
  <c r="N15" i="6"/>
  <c r="N16" i="6"/>
  <c r="N17" i="6"/>
  <c r="N18" i="6"/>
  <c r="N19" i="6"/>
  <c r="M10" i="6"/>
  <c r="M11" i="6"/>
  <c r="M12" i="6"/>
  <c r="M13" i="6"/>
  <c r="M14" i="6"/>
  <c r="M15" i="6"/>
  <c r="M16" i="6"/>
  <c r="M17" i="6"/>
  <c r="M18" i="6"/>
  <c r="M19" i="6"/>
  <c r="L10" i="6"/>
  <c r="L11" i="6"/>
  <c r="L12" i="6"/>
  <c r="L13" i="6"/>
  <c r="L14" i="6"/>
  <c r="L15" i="6"/>
  <c r="L16" i="6"/>
  <c r="L17" i="6"/>
  <c r="L18" i="6"/>
  <c r="L19" i="6"/>
  <c r="K10" i="6"/>
  <c r="K11" i="6"/>
  <c r="K12" i="6"/>
  <c r="K13" i="6"/>
  <c r="K14" i="6"/>
  <c r="K15" i="6"/>
  <c r="K16" i="6"/>
  <c r="K17" i="6"/>
  <c r="K18" i="6"/>
  <c r="K19" i="6"/>
  <c r="J10" i="6"/>
  <c r="J11" i="6"/>
  <c r="J12" i="6"/>
  <c r="J13" i="6"/>
  <c r="J14" i="6"/>
  <c r="J15" i="6"/>
  <c r="J16" i="6"/>
  <c r="J17" i="6"/>
  <c r="J18" i="6"/>
  <c r="J19" i="6"/>
  <c r="I10" i="6"/>
  <c r="I11" i="6"/>
  <c r="I12" i="6"/>
  <c r="I13" i="6"/>
  <c r="I14" i="6"/>
  <c r="I15" i="6"/>
  <c r="I16" i="6"/>
  <c r="I17" i="6"/>
  <c r="I18" i="6"/>
  <c r="I19" i="6"/>
  <c r="H10" i="6"/>
  <c r="H11" i="6"/>
  <c r="H12" i="6"/>
  <c r="H13" i="6"/>
  <c r="H14" i="6"/>
  <c r="H15" i="6"/>
  <c r="H16" i="6"/>
  <c r="H17" i="6"/>
  <c r="H18" i="6"/>
  <c r="H19" i="6"/>
  <c r="G10" i="6"/>
  <c r="G11" i="6"/>
  <c r="G12" i="6"/>
  <c r="G13" i="6"/>
  <c r="G14" i="6"/>
  <c r="G15" i="6"/>
  <c r="G16" i="6"/>
  <c r="G17" i="6"/>
  <c r="G18" i="6"/>
  <c r="G19" i="6"/>
  <c r="F10" i="6"/>
  <c r="F11" i="6"/>
  <c r="F12" i="6"/>
  <c r="F13" i="6"/>
  <c r="F14" i="6"/>
  <c r="F15" i="6"/>
  <c r="F16" i="6"/>
  <c r="F17" i="6"/>
  <c r="F18" i="6"/>
  <c r="F19" i="6"/>
  <c r="E10" i="6"/>
  <c r="E11" i="6"/>
  <c r="E12" i="6"/>
  <c r="E13" i="6"/>
  <c r="E14" i="6"/>
  <c r="E15" i="6"/>
  <c r="E16" i="6"/>
  <c r="E17" i="6"/>
  <c r="E18" i="6"/>
  <c r="E19" i="6"/>
  <c r="D10" i="6"/>
  <c r="D11" i="6"/>
  <c r="D12" i="6"/>
  <c r="D13" i="6"/>
  <c r="D14" i="6"/>
  <c r="D15" i="6"/>
  <c r="D16" i="6"/>
  <c r="D17" i="6"/>
  <c r="D18" i="6"/>
  <c r="D19" i="6"/>
  <c r="C19" i="6"/>
  <c r="C10" i="6"/>
  <c r="C11" i="6"/>
  <c r="C12" i="6"/>
  <c r="C13" i="6"/>
  <c r="C14" i="6"/>
  <c r="C15" i="6"/>
  <c r="C16" i="6"/>
  <c r="C17" i="6"/>
  <c r="C18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B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19" i="6"/>
  <c r="B10" i="6"/>
  <c r="B11" i="6"/>
  <c r="B12" i="6"/>
  <c r="B13" i="6"/>
  <c r="B14" i="6"/>
  <c r="B15" i="6"/>
  <c r="B16" i="6"/>
  <c r="B17" i="6"/>
  <c r="B18" i="6"/>
  <c r="R3" i="6"/>
  <c r="B3" i="6"/>
  <c r="S2" i="6"/>
  <c r="F18" i="5"/>
  <c r="D24" i="5"/>
  <c r="D25" i="5"/>
  <c r="D26" i="5"/>
  <c r="D27" i="5"/>
  <c r="D28" i="5"/>
  <c r="D29" i="5"/>
  <c r="D30" i="5"/>
  <c r="D31" i="5"/>
  <c r="D32" i="5"/>
  <c r="D33" i="5"/>
  <c r="E23" i="5"/>
  <c r="E24" i="5"/>
  <c r="E25" i="5"/>
  <c r="E26" i="5"/>
  <c r="E27" i="5"/>
  <c r="E28" i="5"/>
  <c r="E29" i="5"/>
  <c r="E30" i="5"/>
  <c r="E31" i="5"/>
  <c r="E32" i="5"/>
  <c r="E33" i="5"/>
  <c r="F24" i="5"/>
  <c r="F25" i="5"/>
  <c r="F26" i="5"/>
  <c r="F27" i="5"/>
  <c r="F28" i="5"/>
  <c r="F29" i="5"/>
  <c r="F30" i="5"/>
  <c r="F31" i="5"/>
  <c r="F32" i="5"/>
  <c r="F33" i="5"/>
  <c r="G24" i="5"/>
  <c r="G25" i="5"/>
  <c r="G26" i="5"/>
  <c r="G27" i="5"/>
  <c r="G28" i="5"/>
  <c r="G29" i="5"/>
  <c r="G30" i="5"/>
  <c r="G31" i="5"/>
  <c r="G32" i="5"/>
  <c r="G33" i="5"/>
  <c r="H24" i="5"/>
  <c r="H25" i="5"/>
  <c r="H26" i="5"/>
  <c r="H27" i="5"/>
  <c r="H28" i="5"/>
  <c r="H29" i="5"/>
  <c r="H30" i="5"/>
  <c r="H31" i="5"/>
  <c r="H32" i="5"/>
  <c r="H33" i="5"/>
  <c r="I24" i="5"/>
  <c r="I25" i="5"/>
  <c r="I26" i="5"/>
  <c r="I27" i="5"/>
  <c r="I28" i="5"/>
  <c r="I29" i="5"/>
  <c r="I30" i="5"/>
  <c r="I31" i="5"/>
  <c r="I32" i="5"/>
  <c r="I33" i="5"/>
  <c r="J24" i="5"/>
  <c r="J25" i="5"/>
  <c r="J26" i="5"/>
  <c r="J27" i="5"/>
  <c r="J28" i="5"/>
  <c r="J29" i="5"/>
  <c r="J30" i="5"/>
  <c r="J31" i="5"/>
  <c r="J32" i="5"/>
  <c r="J33" i="5"/>
  <c r="K24" i="5"/>
  <c r="K25" i="5"/>
  <c r="K26" i="5"/>
  <c r="K27" i="5"/>
  <c r="K28" i="5"/>
  <c r="K29" i="5"/>
  <c r="K30" i="5"/>
  <c r="K31" i="5"/>
  <c r="K32" i="5"/>
  <c r="K33" i="5"/>
  <c r="L24" i="5"/>
  <c r="L25" i="5"/>
  <c r="L26" i="5"/>
  <c r="L27" i="5"/>
  <c r="L28" i="5"/>
  <c r="L29" i="5"/>
  <c r="L30" i="5"/>
  <c r="L31" i="5"/>
  <c r="L32" i="5"/>
  <c r="L33" i="5"/>
  <c r="M24" i="5"/>
  <c r="M25" i="5"/>
  <c r="M26" i="5"/>
  <c r="M27" i="5"/>
  <c r="M28" i="5"/>
  <c r="M29" i="5"/>
  <c r="M30" i="5"/>
  <c r="M31" i="5"/>
  <c r="M32" i="5"/>
  <c r="M33" i="5"/>
  <c r="N24" i="5"/>
  <c r="N25" i="5"/>
  <c r="N26" i="5"/>
  <c r="N27" i="5"/>
  <c r="N28" i="5"/>
  <c r="N29" i="5"/>
  <c r="N30" i="5"/>
  <c r="N31" i="5"/>
  <c r="N32" i="5"/>
  <c r="N33" i="5"/>
  <c r="O24" i="5"/>
  <c r="O25" i="5"/>
  <c r="O26" i="5"/>
  <c r="O27" i="5"/>
  <c r="O28" i="5"/>
  <c r="O29" i="5"/>
  <c r="O30" i="5"/>
  <c r="O31" i="5"/>
  <c r="O32" i="5"/>
  <c r="O33" i="5"/>
  <c r="P24" i="5"/>
  <c r="P25" i="5"/>
  <c r="P26" i="5"/>
  <c r="P27" i="5"/>
  <c r="P28" i="5"/>
  <c r="P29" i="5"/>
  <c r="P30" i="5"/>
  <c r="P31" i="5"/>
  <c r="P32" i="5"/>
  <c r="P33" i="5"/>
  <c r="Q24" i="5"/>
  <c r="Q25" i="5"/>
  <c r="Q26" i="5"/>
  <c r="Q27" i="5"/>
  <c r="Q28" i="5"/>
  <c r="Q29" i="5"/>
  <c r="Q30" i="5"/>
  <c r="Q31" i="5"/>
  <c r="Q32" i="5"/>
  <c r="Q33" i="5"/>
  <c r="R33" i="5"/>
  <c r="R24" i="5"/>
  <c r="R25" i="5"/>
  <c r="R26" i="5"/>
  <c r="R27" i="5"/>
  <c r="R28" i="5"/>
  <c r="R29" i="5"/>
  <c r="R30" i="5"/>
  <c r="R31" i="5"/>
  <c r="R32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D23" i="5"/>
  <c r="C23" i="5"/>
  <c r="C33" i="5"/>
  <c r="C24" i="5"/>
  <c r="C25" i="5"/>
  <c r="C26" i="5"/>
  <c r="C27" i="5"/>
  <c r="C28" i="5"/>
  <c r="C29" i="5"/>
  <c r="C30" i="5"/>
  <c r="C31" i="5"/>
  <c r="C32" i="5"/>
  <c r="B23" i="5"/>
  <c r="B33" i="5"/>
  <c r="B24" i="5"/>
  <c r="B25" i="5"/>
  <c r="B26" i="5"/>
  <c r="B27" i="5"/>
  <c r="B28" i="5"/>
  <c r="B29" i="5"/>
  <c r="B30" i="5"/>
  <c r="B31" i="5"/>
  <c r="B32" i="5"/>
  <c r="R17" i="5"/>
  <c r="R13" i="5"/>
  <c r="U50" i="4"/>
  <c r="U41" i="4"/>
  <c r="U42" i="4"/>
  <c r="U43" i="4"/>
  <c r="U44" i="4"/>
  <c r="U45" i="4"/>
  <c r="U46" i="4"/>
  <c r="U47" i="4"/>
  <c r="U48" i="4"/>
  <c r="U49" i="4"/>
  <c r="U40" i="4"/>
  <c r="T41" i="4"/>
  <c r="T42" i="4"/>
  <c r="T43" i="4"/>
  <c r="T44" i="4"/>
  <c r="T45" i="4"/>
  <c r="T46" i="4"/>
  <c r="T47" i="4"/>
  <c r="T48" i="4"/>
  <c r="T49" i="4"/>
  <c r="T50" i="4"/>
  <c r="T40" i="4"/>
  <c r="S40" i="4"/>
  <c r="N40" i="4"/>
  <c r="S2" i="5"/>
  <c r="Q3" i="5" s="1"/>
  <c r="P40" i="4"/>
  <c r="Q50" i="4"/>
  <c r="Q49" i="4"/>
  <c r="Q48" i="4"/>
  <c r="Q47" i="4"/>
  <c r="Q46" i="4"/>
  <c r="Q45" i="4"/>
  <c r="Q44" i="4"/>
  <c r="Q43" i="4"/>
  <c r="Q42" i="4"/>
  <c r="Q41" i="4"/>
  <c r="Q40" i="4"/>
  <c r="P41" i="4"/>
  <c r="P42" i="4"/>
  <c r="P43" i="4"/>
  <c r="P44" i="4"/>
  <c r="P45" i="4"/>
  <c r="P46" i="4"/>
  <c r="P47" i="4"/>
  <c r="P48" i="4"/>
  <c r="P49" i="4"/>
  <c r="P50" i="4"/>
  <c r="O43" i="4"/>
  <c r="O41" i="4"/>
  <c r="O42" i="4"/>
  <c r="O44" i="4"/>
  <c r="O45" i="4"/>
  <c r="O46" i="4"/>
  <c r="O47" i="4"/>
  <c r="O48" i="4"/>
  <c r="O49" i="4"/>
  <c r="O50" i="4"/>
  <c r="O40" i="4"/>
  <c r="N41" i="4"/>
  <c r="N42" i="4"/>
  <c r="N43" i="4"/>
  <c r="N44" i="4"/>
  <c r="N45" i="4"/>
  <c r="N46" i="4"/>
  <c r="N47" i="4"/>
  <c r="N48" i="4"/>
  <c r="N49" i="4"/>
  <c r="N50" i="4"/>
  <c r="C50" i="4"/>
  <c r="D50" i="4"/>
  <c r="H50" i="4"/>
  <c r="I50" i="4"/>
  <c r="J50" i="4"/>
  <c r="C49" i="4"/>
  <c r="D49" i="4"/>
  <c r="H49" i="4"/>
  <c r="I49" i="4"/>
  <c r="J49" i="4"/>
  <c r="C48" i="4"/>
  <c r="D48" i="4"/>
  <c r="H48" i="4"/>
  <c r="I48" i="4"/>
  <c r="J48" i="4"/>
  <c r="C47" i="4"/>
  <c r="D47" i="4"/>
  <c r="H47" i="4"/>
  <c r="I47" i="4"/>
  <c r="J47" i="4"/>
  <c r="C46" i="4"/>
  <c r="D46" i="4"/>
  <c r="H46" i="4"/>
  <c r="I46" i="4"/>
  <c r="J46" i="4"/>
  <c r="C45" i="4"/>
  <c r="D45" i="4"/>
  <c r="H45" i="4"/>
  <c r="I45" i="4"/>
  <c r="J45" i="4"/>
  <c r="B50" i="4"/>
  <c r="B49" i="4"/>
  <c r="B48" i="4"/>
  <c r="B47" i="4"/>
  <c r="B46" i="4"/>
  <c r="B45" i="4"/>
  <c r="C44" i="4"/>
  <c r="D44" i="4"/>
  <c r="H44" i="4"/>
  <c r="I44" i="4"/>
  <c r="J44" i="4"/>
  <c r="B44" i="4"/>
  <c r="C43" i="4"/>
  <c r="D43" i="4"/>
  <c r="H43" i="4"/>
  <c r="I43" i="4"/>
  <c r="J43" i="4"/>
  <c r="B43" i="4"/>
  <c r="C42" i="4"/>
  <c r="D42" i="4"/>
  <c r="H42" i="4"/>
  <c r="I42" i="4"/>
  <c r="J42" i="4"/>
  <c r="B42" i="4"/>
  <c r="B41" i="4"/>
  <c r="C41" i="4"/>
  <c r="D41" i="4"/>
  <c r="H41" i="4"/>
  <c r="I41" i="4"/>
  <c r="J41" i="4"/>
  <c r="C40" i="4"/>
  <c r="D40" i="4"/>
  <c r="H40" i="4"/>
  <c r="I40" i="4"/>
  <c r="J40" i="4"/>
  <c r="B40" i="4"/>
  <c r="I61" i="2"/>
  <c r="H61" i="2"/>
  <c r="G61" i="2"/>
  <c r="F61" i="2"/>
  <c r="E61" i="2"/>
  <c r="N60" i="2"/>
  <c r="M60" i="2"/>
  <c r="K60" i="2"/>
  <c r="J60" i="2"/>
  <c r="M59" i="2"/>
  <c r="K59" i="2"/>
  <c r="J59" i="2"/>
  <c r="K58" i="2"/>
  <c r="J58" i="2"/>
  <c r="K57" i="2"/>
  <c r="J57" i="2"/>
  <c r="J56" i="2"/>
  <c r="O46" i="2"/>
  <c r="N46" i="2"/>
  <c r="K46" i="2"/>
  <c r="O45" i="2"/>
  <c r="N45" i="2"/>
  <c r="C32" i="2" s="1"/>
  <c r="P32" i="2" s="1"/>
  <c r="K45" i="2"/>
  <c r="O44" i="2"/>
  <c r="N44" i="2"/>
  <c r="K44" i="2"/>
  <c r="O43" i="2"/>
  <c r="N43" i="2"/>
  <c r="K43" i="2"/>
  <c r="O42" i="2"/>
  <c r="N42" i="2"/>
  <c r="K42" i="2"/>
  <c r="C29" i="2" s="1"/>
  <c r="P29" i="2" s="1"/>
  <c r="Q30" i="2" s="1"/>
  <c r="R31" i="2" s="1"/>
  <c r="O41" i="2"/>
  <c r="N41" i="2"/>
  <c r="K41" i="2"/>
  <c r="C28" i="2" s="1"/>
  <c r="P28" i="2" s="1"/>
  <c r="Q29" i="2" s="1"/>
  <c r="R30" i="2" s="1"/>
  <c r="S31" i="2" s="1"/>
  <c r="O40" i="2"/>
  <c r="N40" i="2"/>
  <c r="C27" i="2" s="1"/>
  <c r="P27" i="2" s="1"/>
  <c r="Q28" i="2" s="1"/>
  <c r="R29" i="2" s="1"/>
  <c r="S30" i="2" s="1"/>
  <c r="T31" i="2" s="1"/>
  <c r="U32" i="2" s="1"/>
  <c r="K40" i="2"/>
  <c r="O39" i="2"/>
  <c r="N39" i="2"/>
  <c r="K39" i="2"/>
  <c r="O38" i="2"/>
  <c r="N38" i="2"/>
  <c r="K38" i="2"/>
  <c r="O37" i="2"/>
  <c r="N37" i="2"/>
  <c r="M37" i="2"/>
  <c r="K37" i="2"/>
  <c r="J37" i="2"/>
  <c r="O35" i="2"/>
  <c r="N35" i="2"/>
  <c r="N21" i="2" s="1"/>
  <c r="M35" i="2"/>
  <c r="M21" i="2" s="1"/>
  <c r="L35" i="2"/>
  <c r="K35" i="2"/>
  <c r="J35" i="2"/>
  <c r="I35" i="2"/>
  <c r="H35" i="2"/>
  <c r="G35" i="2"/>
  <c r="F35" i="2"/>
  <c r="E35" i="2"/>
  <c r="C31" i="2"/>
  <c r="P31" i="2" s="1"/>
  <c r="Q32" i="2" s="1"/>
  <c r="C30" i="2"/>
  <c r="C15" i="2" s="1"/>
  <c r="C26" i="2"/>
  <c r="C11" i="2" s="1"/>
  <c r="C25" i="2"/>
  <c r="P25" i="2" s="1"/>
  <c r="Q26" i="2" s="1"/>
  <c r="V24" i="2"/>
  <c r="T24" i="2"/>
  <c r="C24" i="2"/>
  <c r="O21" i="2"/>
  <c r="K21" i="2"/>
  <c r="J21" i="2"/>
  <c r="C16" i="2"/>
  <c r="S7" i="2"/>
  <c r="R7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G3" i="5" l="1"/>
  <c r="F3" i="5"/>
  <c r="E3" i="5"/>
  <c r="M3" i="5"/>
  <c r="L3" i="5"/>
  <c r="K3" i="5"/>
  <c r="N3" i="5"/>
  <c r="J3" i="5"/>
  <c r="I3" i="5"/>
  <c r="H3" i="5"/>
  <c r="P3" i="5"/>
  <c r="O3" i="5"/>
  <c r="D3" i="5"/>
  <c r="C3" i="5"/>
  <c r="A3" i="5"/>
  <c r="B3" i="5"/>
  <c r="Z9" i="2"/>
  <c r="L9" i="2"/>
  <c r="S24" i="2"/>
  <c r="R24" i="2"/>
  <c r="Q24" i="2"/>
  <c r="P24" i="2"/>
  <c r="AD24" i="2"/>
  <c r="C9" i="2"/>
  <c r="W9" i="2" s="1"/>
  <c r="AC24" i="2"/>
  <c r="AB24" i="2"/>
  <c r="Y24" i="2"/>
  <c r="X24" i="2"/>
  <c r="C33" i="2"/>
  <c r="Q33" i="2" s="1"/>
  <c r="T32" i="2"/>
  <c r="T9" i="2"/>
  <c r="U24" i="2"/>
  <c r="C14" i="2"/>
  <c r="Z24" i="2"/>
  <c r="W24" i="2"/>
  <c r="C13" i="2"/>
  <c r="AA24" i="2"/>
  <c r="S32" i="2"/>
  <c r="H9" i="2"/>
  <c r="I9" i="2"/>
  <c r="R27" i="2"/>
  <c r="S28" i="2" s="1"/>
  <c r="T29" i="2" s="1"/>
  <c r="U30" i="2" s="1"/>
  <c r="V31" i="2" s="1"/>
  <c r="W32" i="2" s="1"/>
  <c r="C17" i="2"/>
  <c r="U25" i="2"/>
  <c r="V26" i="2" s="1"/>
  <c r="W27" i="2" s="1"/>
  <c r="X28" i="2" s="1"/>
  <c r="Y29" i="2" s="1"/>
  <c r="Z30" i="2" s="1"/>
  <c r="AA31" i="2" s="1"/>
  <c r="AB32" i="2" s="1"/>
  <c r="C12" i="2"/>
  <c r="W25" i="2"/>
  <c r="X26" i="2" s="1"/>
  <c r="Y27" i="2" s="1"/>
  <c r="Z28" i="2" s="1"/>
  <c r="AA29" i="2" s="1"/>
  <c r="AB30" i="2" s="1"/>
  <c r="AC31" i="2" s="1"/>
  <c r="AD32" i="2" s="1"/>
  <c r="C10" i="2"/>
  <c r="T7" i="2"/>
  <c r="P30" i="2"/>
  <c r="Q31" i="2" s="1"/>
  <c r="R32" i="2" s="1"/>
  <c r="P26" i="2"/>
  <c r="Q27" i="2" s="1"/>
  <c r="R28" i="2" s="1"/>
  <c r="S29" i="2" s="1"/>
  <c r="T30" i="2" s="1"/>
  <c r="U31" i="2" s="1"/>
  <c r="V32" i="2" s="1"/>
  <c r="X10" i="2" l="1"/>
  <c r="W50" i="2"/>
  <c r="R34" i="2"/>
  <c r="M10" i="2"/>
  <c r="T33" i="2"/>
  <c r="S9" i="2"/>
  <c r="Z25" i="2"/>
  <c r="AA26" i="2" s="1"/>
  <c r="AB27" i="2" s="1"/>
  <c r="AC28" i="2" s="1"/>
  <c r="AD29" i="2" s="1"/>
  <c r="I10" i="2"/>
  <c r="J11" i="2" s="1"/>
  <c r="S33" i="2"/>
  <c r="T34" i="2" s="1"/>
  <c r="Y25" i="2"/>
  <c r="Z26" i="2" s="1"/>
  <c r="AA27" i="2" s="1"/>
  <c r="AB28" i="2" s="1"/>
  <c r="AC29" i="2" s="1"/>
  <c r="AD30" i="2" s="1"/>
  <c r="AB25" i="2"/>
  <c r="AC26" i="2" s="1"/>
  <c r="AD27" i="2" s="1"/>
  <c r="AC25" i="2"/>
  <c r="AD26" i="2" s="1"/>
  <c r="AD25" i="2"/>
  <c r="P33" i="2"/>
  <c r="Q34" i="2" s="1"/>
  <c r="C34" i="2"/>
  <c r="C18" i="2"/>
  <c r="G9" i="2"/>
  <c r="W67" i="2"/>
  <c r="T50" i="2"/>
  <c r="V67" i="2" s="1"/>
  <c r="U10" i="2"/>
  <c r="U33" i="2"/>
  <c r="V34" i="2" s="1"/>
  <c r="AC33" i="2"/>
  <c r="AD34" i="2" s="1"/>
  <c r="Q25" i="2"/>
  <c r="R26" i="2" s="1"/>
  <c r="S27" i="2" s="1"/>
  <c r="T28" i="2" s="1"/>
  <c r="U29" i="2" s="1"/>
  <c r="V30" i="2" s="1"/>
  <c r="W31" i="2" s="1"/>
  <c r="X32" i="2" s="1"/>
  <c r="Y33" i="2" s="1"/>
  <c r="Z34" i="2" s="1"/>
  <c r="V9" i="2"/>
  <c r="R25" i="2"/>
  <c r="S26" i="2" s="1"/>
  <c r="T27" i="2" s="1"/>
  <c r="U28" i="2" s="1"/>
  <c r="V29" i="2" s="1"/>
  <c r="W30" i="2" s="1"/>
  <c r="X31" i="2" s="1"/>
  <c r="Y32" i="2" s="1"/>
  <c r="Z33" i="2" s="1"/>
  <c r="AA34" i="2" s="1"/>
  <c r="F9" i="2"/>
  <c r="AA25" i="2"/>
  <c r="AB26" i="2" s="1"/>
  <c r="AC27" i="2" s="1"/>
  <c r="AD28" i="2" s="1"/>
  <c r="S25" i="2"/>
  <c r="T26" i="2" s="1"/>
  <c r="U27" i="2" s="1"/>
  <c r="V28" i="2" s="1"/>
  <c r="W29" i="2" s="1"/>
  <c r="X30" i="2" s="1"/>
  <c r="Y31" i="2" s="1"/>
  <c r="Z32" i="2" s="1"/>
  <c r="AA33" i="2" s="1"/>
  <c r="AB34" i="2" s="1"/>
  <c r="J10" i="2"/>
  <c r="Z50" i="2"/>
  <c r="AA10" i="2"/>
  <c r="X9" i="2"/>
  <c r="X25" i="2"/>
  <c r="Y26" i="2" s="1"/>
  <c r="Z27" i="2" s="1"/>
  <c r="AA28" i="2" s="1"/>
  <c r="AB29" i="2" s="1"/>
  <c r="AC30" i="2" s="1"/>
  <c r="AD31" i="2" s="1"/>
  <c r="T25" i="2"/>
  <c r="R33" i="2"/>
  <c r="S34" i="2" s="1"/>
  <c r="V33" i="2"/>
  <c r="W34" i="2" s="1"/>
  <c r="W33" i="2"/>
  <c r="X34" i="2" s="1"/>
  <c r="AD9" i="2"/>
  <c r="AC9" i="2"/>
  <c r="AA9" i="2"/>
  <c r="U9" i="2"/>
  <c r="M9" i="2"/>
  <c r="R9" i="2"/>
  <c r="Q9" i="2"/>
  <c r="N9" i="2"/>
  <c r="K9" i="2"/>
  <c r="E9" i="2"/>
  <c r="J9" i="2"/>
  <c r="X33" i="2"/>
  <c r="O9" i="2"/>
  <c r="AB9" i="2"/>
  <c r="Y9" i="2"/>
  <c r="V25" i="2"/>
  <c r="P9" i="2"/>
  <c r="Q50" i="2" l="1"/>
  <c r="R10" i="2"/>
  <c r="J50" i="2"/>
  <c r="K10" i="2"/>
  <c r="AA51" i="2"/>
  <c r="AB11" i="2"/>
  <c r="R50" i="2"/>
  <c r="P67" i="2" s="1"/>
  <c r="Q67" i="2"/>
  <c r="S10" i="2"/>
  <c r="V11" i="2"/>
  <c r="U51" i="2"/>
  <c r="N10" i="2"/>
  <c r="M50" i="2"/>
  <c r="J52" i="2"/>
  <c r="K12" i="2"/>
  <c r="X51" i="2"/>
  <c r="Y11" i="2"/>
  <c r="Y10" i="2"/>
  <c r="X50" i="2"/>
  <c r="U50" i="2"/>
  <c r="V10" i="2"/>
  <c r="AB10" i="2"/>
  <c r="AA50" i="2"/>
  <c r="R35" i="2"/>
  <c r="E20" i="2"/>
  <c r="F10" i="2"/>
  <c r="G11" i="2" s="1"/>
  <c r="H12" i="2" s="1"/>
  <c r="I13" i="2" s="1"/>
  <c r="J14" i="2" s="1"/>
  <c r="P50" i="2"/>
  <c r="Q10" i="2"/>
  <c r="AD10" i="2"/>
  <c r="AD51" i="2" s="1"/>
  <c r="AC50" i="2"/>
  <c r="H10" i="2"/>
  <c r="W26" i="2"/>
  <c r="AD50" i="2"/>
  <c r="T67" i="2"/>
  <c r="S50" i="2"/>
  <c r="S67" i="2" s="1"/>
  <c r="T10" i="2"/>
  <c r="P34" i="2"/>
  <c r="P35" i="2" s="1"/>
  <c r="C19" i="2"/>
  <c r="U34" i="2"/>
  <c r="L10" i="2"/>
  <c r="K50" i="2"/>
  <c r="O10" i="2"/>
  <c r="N50" i="2"/>
  <c r="Z10" i="2"/>
  <c r="Y50" i="2"/>
  <c r="G10" i="2"/>
  <c r="H11" i="2" s="1"/>
  <c r="I12" i="2" s="1"/>
  <c r="J13" i="2" s="1"/>
  <c r="AC10" i="2"/>
  <c r="AB50" i="2"/>
  <c r="Q35" i="2"/>
  <c r="M51" i="2"/>
  <c r="N11" i="2"/>
  <c r="J51" i="2"/>
  <c r="K11" i="2"/>
  <c r="O50" i="2"/>
  <c r="P10" i="2"/>
  <c r="U26" i="2"/>
  <c r="T35" i="2"/>
  <c r="Y34" i="2"/>
  <c r="S35" i="2"/>
  <c r="V50" i="2"/>
  <c r="W10" i="2"/>
  <c r="V27" i="2" l="1"/>
  <c r="U35" i="2"/>
  <c r="V51" i="2"/>
  <c r="W11" i="2"/>
  <c r="Z51" i="2"/>
  <c r="AA11" i="2"/>
  <c r="X27" i="2"/>
  <c r="O51" i="2"/>
  <c r="P11" i="2"/>
  <c r="I11" i="2"/>
  <c r="H20" i="2"/>
  <c r="T11" i="2"/>
  <c r="S51" i="2"/>
  <c r="S68" i="2" s="1"/>
  <c r="T68" i="2"/>
  <c r="K52" i="2"/>
  <c r="L12" i="2"/>
  <c r="M13" i="2" s="1"/>
  <c r="N52" i="2"/>
  <c r="O12" i="2"/>
  <c r="G20" i="2"/>
  <c r="AB52" i="2"/>
  <c r="AC12" i="2"/>
  <c r="Y51" i="2"/>
  <c r="Z11" i="2"/>
  <c r="M11" i="2"/>
  <c r="Y52" i="2"/>
  <c r="Z12" i="2"/>
  <c r="W51" i="2"/>
  <c r="X11" i="2"/>
  <c r="Q51" i="2"/>
  <c r="R11" i="2"/>
  <c r="K51" i="2"/>
  <c r="L11" i="2"/>
  <c r="M12" i="2" s="1"/>
  <c r="AB51" i="2"/>
  <c r="AC11" i="2"/>
  <c r="L13" i="2"/>
  <c r="M14" i="2" s="1"/>
  <c r="K53" i="2"/>
  <c r="AC51" i="2"/>
  <c r="AD11" i="2"/>
  <c r="P51" i="2"/>
  <c r="Q11" i="2"/>
  <c r="K14" i="2"/>
  <c r="J54" i="2"/>
  <c r="K15" i="2"/>
  <c r="J55" i="2"/>
  <c r="R51" i="2"/>
  <c r="P68" i="2" s="1"/>
  <c r="S11" i="2"/>
  <c r="Q68" i="2"/>
  <c r="F20" i="2"/>
  <c r="V52" i="2"/>
  <c r="W12" i="2"/>
  <c r="U11" i="2"/>
  <c r="W68" i="2"/>
  <c r="T51" i="2"/>
  <c r="V68" i="2" s="1"/>
  <c r="N51" i="2"/>
  <c r="O11" i="2"/>
  <c r="J12" i="2" l="1"/>
  <c r="I20" i="2"/>
  <c r="M52" i="2"/>
  <c r="N12" i="2"/>
  <c r="Q12" i="2"/>
  <c r="P52" i="2"/>
  <c r="L15" i="2"/>
  <c r="M16" i="2" s="1"/>
  <c r="K55" i="2"/>
  <c r="Q52" i="2"/>
  <c r="R12" i="2"/>
  <c r="V12" i="2"/>
  <c r="U52" i="2"/>
  <c r="W53" i="2"/>
  <c r="X13" i="2"/>
  <c r="Z52" i="2"/>
  <c r="AA12" i="2"/>
  <c r="X52" i="2"/>
  <c r="Y12" i="2"/>
  <c r="M55" i="2"/>
  <c r="N15" i="2"/>
  <c r="AA52" i="2"/>
  <c r="AB12" i="2"/>
  <c r="AC52" i="2"/>
  <c r="AD12" i="2"/>
  <c r="AD53" i="2" s="1"/>
  <c r="T69" i="2"/>
  <c r="S52" i="2"/>
  <c r="S69" i="2" s="1"/>
  <c r="T12" i="2"/>
  <c r="O53" i="2"/>
  <c r="P13" i="2"/>
  <c r="W52" i="2"/>
  <c r="X12" i="2"/>
  <c r="Z53" i="2"/>
  <c r="AA13" i="2"/>
  <c r="Y28" i="2"/>
  <c r="N13" i="2"/>
  <c r="M53" i="2"/>
  <c r="N14" i="2"/>
  <c r="M54" i="2"/>
  <c r="W69" i="2"/>
  <c r="T52" i="2"/>
  <c r="V69" i="2" s="1"/>
  <c r="U12" i="2"/>
  <c r="AD52" i="2"/>
  <c r="AC53" i="2"/>
  <c r="AD13" i="2"/>
  <c r="AD54" i="2" s="1"/>
  <c r="R52" i="2"/>
  <c r="P69" i="2" s="1"/>
  <c r="S12" i="2"/>
  <c r="Q69" i="2"/>
  <c r="O52" i="2"/>
  <c r="P12" i="2"/>
  <c r="K56" i="2"/>
  <c r="L16" i="2"/>
  <c r="M17" i="2" s="1"/>
  <c r="W28" i="2"/>
  <c r="V35" i="2"/>
  <c r="X54" i="2" l="1"/>
  <c r="Y14" i="2"/>
  <c r="W13" i="2"/>
  <c r="V53" i="2"/>
  <c r="Q70" i="2"/>
  <c r="R53" i="2"/>
  <c r="P70" i="2" s="1"/>
  <c r="S13" i="2"/>
  <c r="K13" i="2"/>
  <c r="J53" i="2"/>
  <c r="J20" i="2"/>
  <c r="J61" i="2" s="1"/>
  <c r="N17" i="2"/>
  <c r="M57" i="2"/>
  <c r="Q13" i="2"/>
  <c r="P53" i="2"/>
  <c r="AB14" i="2"/>
  <c r="AA54" i="2"/>
  <c r="U13" i="2"/>
  <c r="T53" i="2"/>
  <c r="V70" i="2" s="1"/>
  <c r="W70" i="2"/>
  <c r="N18" i="2"/>
  <c r="M58" i="2"/>
  <c r="N55" i="2"/>
  <c r="O15" i="2"/>
  <c r="R13" i="2"/>
  <c r="Q53" i="2"/>
  <c r="O14" i="2"/>
  <c r="N54" i="2"/>
  <c r="N56" i="2"/>
  <c r="O16" i="2"/>
  <c r="X29" i="2"/>
  <c r="W35" i="2"/>
  <c r="AC13" i="2"/>
  <c r="AB53" i="2"/>
  <c r="Y53" i="2"/>
  <c r="Z13" i="2"/>
  <c r="N53" i="2"/>
  <c r="O13" i="2"/>
  <c r="V13" i="2"/>
  <c r="U53" i="2"/>
  <c r="T70" i="2"/>
  <c r="T13" i="2"/>
  <c r="S53" i="2"/>
  <c r="S70" i="2" s="1"/>
  <c r="X53" i="2"/>
  <c r="Y13" i="2"/>
  <c r="Q14" i="2"/>
  <c r="P54" i="2"/>
  <c r="Z29" i="2"/>
  <c r="AA53" i="2"/>
  <c r="AB13" i="2"/>
  <c r="L14" i="2" l="1"/>
  <c r="K54" i="2"/>
  <c r="K20" i="2"/>
  <c r="K61" i="2" s="1"/>
  <c r="N58" i="2"/>
  <c r="O18" i="2"/>
  <c r="AA30" i="2"/>
  <c r="V54" i="2"/>
  <c r="W14" i="2"/>
  <c r="O56" i="2"/>
  <c r="P16" i="2"/>
  <c r="O55" i="2"/>
  <c r="P15" i="2"/>
  <c r="R54" i="2"/>
  <c r="P71" i="2" s="1"/>
  <c r="S14" i="2"/>
  <c r="Q71" i="2"/>
  <c r="AA14" i="2"/>
  <c r="Z54" i="2"/>
  <c r="S54" i="2"/>
  <c r="S71" i="2" s="1"/>
  <c r="T71" i="2"/>
  <c r="T14" i="2"/>
  <c r="AD14" i="2"/>
  <c r="AC54" i="2"/>
  <c r="U54" i="2"/>
  <c r="V14" i="2"/>
  <c r="W54" i="2"/>
  <c r="X14" i="2"/>
  <c r="P14" i="2"/>
  <c r="O54" i="2"/>
  <c r="Q55" i="2"/>
  <c r="R15" i="2"/>
  <c r="Z14" i="2"/>
  <c r="Y54" i="2"/>
  <c r="Z15" i="2"/>
  <c r="Y55" i="2"/>
  <c r="AB54" i="2"/>
  <c r="AC14" i="2"/>
  <c r="N59" i="2"/>
  <c r="O19" i="2"/>
  <c r="O60" i="2" s="1"/>
  <c r="Y30" i="2"/>
  <c r="X35" i="2"/>
  <c r="AB55" i="2"/>
  <c r="AC15" i="2"/>
  <c r="Q54" i="2"/>
  <c r="R14" i="2"/>
  <c r="T54" i="2"/>
  <c r="V71" i="2" s="1"/>
  <c r="U14" i="2"/>
  <c r="W71" i="2"/>
  <c r="P17" i="2"/>
  <c r="O57" i="2"/>
  <c r="W15" i="2" l="1"/>
  <c r="V55" i="2"/>
  <c r="Q18" i="2"/>
  <c r="P58" i="2"/>
  <c r="W55" i="2"/>
  <c r="X15" i="2"/>
  <c r="AB31" i="2"/>
  <c r="O59" i="2"/>
  <c r="P19" i="2"/>
  <c r="P60" i="2" s="1"/>
  <c r="AC55" i="2"/>
  <c r="AD15" i="2"/>
  <c r="AD56" i="2" s="1"/>
  <c r="W72" i="2"/>
  <c r="U15" i="2"/>
  <c r="T55" i="2"/>
  <c r="V72" i="2" s="1"/>
  <c r="Z56" i="2"/>
  <c r="AA16" i="2"/>
  <c r="Q73" i="2"/>
  <c r="S16" i="2"/>
  <c r="R56" i="2"/>
  <c r="P73" i="2" s="1"/>
  <c r="AC56" i="2"/>
  <c r="AD16" i="2"/>
  <c r="AD57" i="2" s="1"/>
  <c r="AB15" i="2"/>
  <c r="AA55" i="2"/>
  <c r="Q17" i="2"/>
  <c r="P57" i="2"/>
  <c r="AD55" i="2"/>
  <c r="M15" i="2"/>
  <c r="L20" i="2"/>
  <c r="P55" i="2"/>
  <c r="Q15" i="2"/>
  <c r="T72" i="2"/>
  <c r="S55" i="2"/>
  <c r="S72" i="2" s="1"/>
  <c r="T15" i="2"/>
  <c r="V15" i="2"/>
  <c r="U55" i="2"/>
  <c r="Z31" i="2"/>
  <c r="Y35" i="2"/>
  <c r="AA15" i="2"/>
  <c r="Z55" i="2"/>
  <c r="R55" i="2"/>
  <c r="P72" i="2" s="1"/>
  <c r="Q72" i="2"/>
  <c r="S15" i="2"/>
  <c r="Y15" i="2"/>
  <c r="X55" i="2"/>
  <c r="P56" i="2"/>
  <c r="Q16" i="2"/>
  <c r="W16" i="2" l="1"/>
  <c r="V56" i="2"/>
  <c r="R18" i="2"/>
  <c r="Q58" i="2"/>
  <c r="R17" i="2"/>
  <c r="Q57" i="2"/>
  <c r="Q59" i="2"/>
  <c r="R19" i="2"/>
  <c r="X56" i="2"/>
  <c r="Y16" i="2"/>
  <c r="S56" i="2"/>
  <c r="S73" i="2" s="1"/>
  <c r="T73" i="2"/>
  <c r="T16" i="2"/>
  <c r="AB17" i="2"/>
  <c r="AA57" i="2"/>
  <c r="AB56" i="2"/>
  <c r="AC16" i="2"/>
  <c r="U16" i="2"/>
  <c r="T56" i="2"/>
  <c r="V73" i="2" s="1"/>
  <c r="W73" i="2"/>
  <c r="X16" i="2"/>
  <c r="W56" i="2"/>
  <c r="AC32" i="2"/>
  <c r="AA56" i="2"/>
  <c r="AB16" i="2"/>
  <c r="AA32" i="2"/>
  <c r="Z35" i="2"/>
  <c r="T17" i="2"/>
  <c r="S57" i="2"/>
  <c r="S74" i="2" s="1"/>
  <c r="T74" i="2"/>
  <c r="Y56" i="2"/>
  <c r="Z16" i="2"/>
  <c r="R16" i="2"/>
  <c r="Q56" i="2"/>
  <c r="M56" i="2"/>
  <c r="N16" i="2"/>
  <c r="M20" i="2"/>
  <c r="M61" i="2" s="1"/>
  <c r="V16" i="2"/>
  <c r="U56" i="2"/>
  <c r="U17" i="2" l="1"/>
  <c r="T57" i="2"/>
  <c r="V74" i="2" s="1"/>
  <c r="W74" i="2"/>
  <c r="AB57" i="2"/>
  <c r="AC17" i="2"/>
  <c r="AC18" i="2"/>
  <c r="AB58" i="2"/>
  <c r="AD33" i="2"/>
  <c r="AD35" i="2" s="1"/>
  <c r="Z57" i="2"/>
  <c r="AA17" i="2"/>
  <c r="R59" i="2"/>
  <c r="P76" i="2" s="1"/>
  <c r="S19" i="2"/>
  <c r="Q76" i="2"/>
  <c r="AB33" i="2"/>
  <c r="AA35" i="2"/>
  <c r="Y57" i="2"/>
  <c r="Z17" i="2"/>
  <c r="R60" i="2"/>
  <c r="P77" i="2" s="1"/>
  <c r="Q77" i="2"/>
  <c r="R20" i="2"/>
  <c r="X57" i="2"/>
  <c r="Y17" i="2"/>
  <c r="S17" i="2"/>
  <c r="R57" i="2"/>
  <c r="P74" i="2" s="1"/>
  <c r="Q74" i="2"/>
  <c r="AD17" i="2"/>
  <c r="AC57" i="2"/>
  <c r="V57" i="2"/>
  <c r="W17" i="2"/>
  <c r="O17" i="2"/>
  <c r="N57" i="2"/>
  <c r="N20" i="2"/>
  <c r="N61" i="2" s="1"/>
  <c r="S18" i="2"/>
  <c r="R58" i="2"/>
  <c r="P75" i="2" s="1"/>
  <c r="Q75" i="2"/>
  <c r="W57" i="2"/>
  <c r="X17" i="2"/>
  <c r="W75" i="2"/>
  <c r="T58" i="2"/>
  <c r="V75" i="2" s="1"/>
  <c r="U18" i="2"/>
  <c r="U57" i="2"/>
  <c r="V17" i="2"/>
  <c r="P18" i="2" l="1"/>
  <c r="O58" i="2"/>
  <c r="O20" i="2"/>
  <c r="O61" i="2" s="1"/>
  <c r="AC34" i="2"/>
  <c r="AC35" i="2" s="1"/>
  <c r="AB35" i="2"/>
  <c r="AB18" i="2"/>
  <c r="AA58" i="2"/>
  <c r="X18" i="2"/>
  <c r="W58" i="2"/>
  <c r="AD18" i="2"/>
  <c r="AD59" i="2" s="1"/>
  <c r="AC58" i="2"/>
  <c r="T77" i="2"/>
  <c r="S60" i="2"/>
  <c r="S77" i="2" s="1"/>
  <c r="S20" i="2"/>
  <c r="AD58" i="2"/>
  <c r="AD20" i="2"/>
  <c r="AD61" i="2" s="1"/>
  <c r="V19" i="2"/>
  <c r="U59" i="2"/>
  <c r="Y58" i="2"/>
  <c r="Z18" i="2"/>
  <c r="T75" i="2"/>
  <c r="S58" i="2"/>
  <c r="S75" i="2" s="1"/>
  <c r="T18" i="2"/>
  <c r="Y18" i="2"/>
  <c r="X58" i="2"/>
  <c r="Q78" i="2"/>
  <c r="R61" i="2"/>
  <c r="P78" i="2" s="1"/>
  <c r="Z58" i="2"/>
  <c r="AA18" i="2"/>
  <c r="V58" i="2"/>
  <c r="W18" i="2"/>
  <c r="AC59" i="2"/>
  <c r="AD19" i="2"/>
  <c r="AD60" i="2" s="1"/>
  <c r="T76" i="2"/>
  <c r="T19" i="2"/>
  <c r="S59" i="2"/>
  <c r="S76" i="2" s="1"/>
  <c r="U58" i="2"/>
  <c r="V18" i="2"/>
  <c r="T78" i="2" l="1"/>
  <c r="S61" i="2"/>
  <c r="S78" i="2" s="1"/>
  <c r="W59" i="2"/>
  <c r="X19" i="2"/>
  <c r="X59" i="2"/>
  <c r="Y19" i="2"/>
  <c r="Y60" i="2" s="1"/>
  <c r="V59" i="2"/>
  <c r="W19" i="2"/>
  <c r="AA59" i="2"/>
  <c r="AB19" i="2"/>
  <c r="Y59" i="2"/>
  <c r="Z19" i="2"/>
  <c r="Y20" i="2"/>
  <c r="Y61" i="2" s="1"/>
  <c r="AB59" i="2"/>
  <c r="AC19" i="2"/>
  <c r="W77" i="2"/>
  <c r="T60" i="2"/>
  <c r="V77" i="2" s="1"/>
  <c r="T20" i="2"/>
  <c r="Z59" i="2"/>
  <c r="AA19" i="2"/>
  <c r="W76" i="2"/>
  <c r="U19" i="2"/>
  <c r="T59" i="2"/>
  <c r="V76" i="2" s="1"/>
  <c r="V60" i="2"/>
  <c r="V20" i="2"/>
  <c r="V61" i="2" s="1"/>
  <c r="P59" i="2"/>
  <c r="Q19" i="2"/>
  <c r="P20" i="2"/>
  <c r="P61" i="2" s="1"/>
  <c r="AC60" i="2" l="1"/>
  <c r="AC20" i="2"/>
  <c r="AC61" i="2" s="1"/>
  <c r="AB60" i="2"/>
  <c r="AB20" i="2"/>
  <c r="AB61" i="2" s="1"/>
  <c r="Z60" i="2"/>
  <c r="Z20" i="2"/>
  <c r="Z61" i="2" s="1"/>
  <c r="W60" i="2"/>
  <c r="W20" i="2"/>
  <c r="W61" i="2" s="1"/>
  <c r="U60" i="2"/>
  <c r="U20" i="2"/>
  <c r="U61" i="2" s="1"/>
  <c r="AA60" i="2"/>
  <c r="AA20" i="2"/>
  <c r="AA61" i="2" s="1"/>
  <c r="T61" i="2"/>
  <c r="V78" i="2" s="1"/>
  <c r="W78" i="2"/>
  <c r="Q60" i="2"/>
  <c r="Q20" i="2"/>
  <c r="Q61" i="2" s="1"/>
  <c r="X60" i="2"/>
  <c r="X20" i="2"/>
  <c r="X61" i="2" s="1"/>
  <c r="C3" i="1"/>
  <c r="N16" i="1" s="1"/>
  <c r="M9" i="1" l="1"/>
  <c r="M36" i="1"/>
  <c r="M20" i="1"/>
  <c r="N47" i="1"/>
  <c r="M49" i="4" s="1"/>
  <c r="N31" i="1"/>
  <c r="M45" i="4" s="1"/>
  <c r="N15" i="1"/>
  <c r="M41" i="4" s="1"/>
  <c r="F40" i="1"/>
  <c r="F24" i="1"/>
  <c r="L25" i="1"/>
  <c r="G35" i="1"/>
  <c r="F46" i="4" s="1"/>
  <c r="F23" i="1"/>
  <c r="E43" i="4" s="1"/>
  <c r="S43" i="4" s="1"/>
  <c r="G50" i="1"/>
  <c r="G34" i="1"/>
  <c r="G18" i="1"/>
  <c r="H45" i="1"/>
  <c r="H29" i="1"/>
  <c r="H13" i="1"/>
  <c r="L40" i="1"/>
  <c r="L24" i="1"/>
  <c r="M51" i="1"/>
  <c r="L50" i="4" s="1"/>
  <c r="M35" i="1"/>
  <c r="L46" i="4" s="1"/>
  <c r="M19" i="1"/>
  <c r="L42" i="4" s="1"/>
  <c r="N46" i="1"/>
  <c r="N30" i="1"/>
  <c r="N14" i="1"/>
  <c r="H30" i="1"/>
  <c r="F38" i="1"/>
  <c r="F22" i="1"/>
  <c r="G49" i="1"/>
  <c r="G33" i="1"/>
  <c r="G17" i="1"/>
  <c r="H44" i="1"/>
  <c r="H28" i="1"/>
  <c r="H12" i="1"/>
  <c r="L39" i="1"/>
  <c r="K47" i="4" s="1"/>
  <c r="L23" i="1"/>
  <c r="K43" i="4" s="1"/>
  <c r="M50" i="1"/>
  <c r="M34" i="1"/>
  <c r="M18" i="1"/>
  <c r="N45" i="1"/>
  <c r="N29" i="1"/>
  <c r="N13" i="1"/>
  <c r="F21" i="1"/>
  <c r="G48" i="1"/>
  <c r="G32" i="1"/>
  <c r="G16" i="1"/>
  <c r="H43" i="1"/>
  <c r="G48" i="4" s="1"/>
  <c r="H27" i="1"/>
  <c r="G44" i="4" s="1"/>
  <c r="H11" i="1"/>
  <c r="G40" i="4" s="1"/>
  <c r="L38" i="1"/>
  <c r="L22" i="1"/>
  <c r="M49" i="1"/>
  <c r="M33" i="1"/>
  <c r="M17" i="1"/>
  <c r="N44" i="1"/>
  <c r="N28" i="1"/>
  <c r="N12" i="1"/>
  <c r="F37" i="1"/>
  <c r="F9" i="1"/>
  <c r="F36" i="1"/>
  <c r="F20" i="1"/>
  <c r="G47" i="1"/>
  <c r="F49" i="4" s="1"/>
  <c r="G31" i="1"/>
  <c r="F45" i="4" s="1"/>
  <c r="G15" i="1"/>
  <c r="F41" i="4" s="1"/>
  <c r="H42" i="1"/>
  <c r="H26" i="1"/>
  <c r="H10" i="1"/>
  <c r="L37" i="1"/>
  <c r="L21" i="1"/>
  <c r="M48" i="1"/>
  <c r="M32" i="1"/>
  <c r="M16" i="1"/>
  <c r="N43" i="1"/>
  <c r="M48" i="4" s="1"/>
  <c r="N27" i="1"/>
  <c r="M44" i="4" s="1"/>
  <c r="N11" i="1"/>
  <c r="M40" i="4" s="1"/>
  <c r="H14" i="1"/>
  <c r="F51" i="1"/>
  <c r="E50" i="4" s="1"/>
  <c r="S50" i="4" s="1"/>
  <c r="F35" i="1"/>
  <c r="E46" i="4" s="1"/>
  <c r="S46" i="4" s="1"/>
  <c r="F19" i="1"/>
  <c r="E42" i="4" s="1"/>
  <c r="S42" i="4" s="1"/>
  <c r="G46" i="1"/>
  <c r="G30" i="1"/>
  <c r="G14" i="1"/>
  <c r="H41" i="1"/>
  <c r="H25" i="1"/>
  <c r="L9" i="1"/>
  <c r="L36" i="1"/>
  <c r="L20" i="1"/>
  <c r="M47" i="1"/>
  <c r="L49" i="4" s="1"/>
  <c r="M31" i="1"/>
  <c r="L45" i="4" s="1"/>
  <c r="M15" i="1"/>
  <c r="L41" i="4" s="1"/>
  <c r="N42" i="1"/>
  <c r="N26" i="1"/>
  <c r="N10" i="1"/>
  <c r="F50" i="1"/>
  <c r="F34" i="1"/>
  <c r="F18" i="1"/>
  <c r="G45" i="1"/>
  <c r="G29" i="1"/>
  <c r="G13" i="1"/>
  <c r="H40" i="1"/>
  <c r="H24" i="1"/>
  <c r="L51" i="1"/>
  <c r="K50" i="4" s="1"/>
  <c r="L35" i="1"/>
  <c r="K46" i="4" s="1"/>
  <c r="L19" i="1"/>
  <c r="K42" i="4" s="1"/>
  <c r="M46" i="1"/>
  <c r="M30" i="1"/>
  <c r="M14" i="1"/>
  <c r="N41" i="1"/>
  <c r="N25" i="1"/>
  <c r="F49" i="1"/>
  <c r="F33" i="1"/>
  <c r="F17" i="1"/>
  <c r="G44" i="1"/>
  <c r="G28" i="1"/>
  <c r="G12" i="1"/>
  <c r="H39" i="1"/>
  <c r="G47" i="4" s="1"/>
  <c r="H23" i="1"/>
  <c r="G43" i="4" s="1"/>
  <c r="L50" i="1"/>
  <c r="L34" i="1"/>
  <c r="L18" i="1"/>
  <c r="M45" i="1"/>
  <c r="M29" i="1"/>
  <c r="M13" i="1"/>
  <c r="N40" i="1"/>
  <c r="N24" i="1"/>
  <c r="F48" i="1"/>
  <c r="F32" i="1"/>
  <c r="F16" i="1"/>
  <c r="G43" i="1"/>
  <c r="F48" i="4" s="1"/>
  <c r="G27" i="1"/>
  <c r="F44" i="4" s="1"/>
  <c r="G11" i="1"/>
  <c r="F40" i="4" s="1"/>
  <c r="H38" i="1"/>
  <c r="H22" i="1"/>
  <c r="L49" i="1"/>
  <c r="L33" i="1"/>
  <c r="L17" i="1"/>
  <c r="M44" i="1"/>
  <c r="M28" i="1"/>
  <c r="M12" i="1"/>
  <c r="N39" i="1"/>
  <c r="M47" i="4" s="1"/>
  <c r="N23" i="1"/>
  <c r="M43" i="4" s="1"/>
  <c r="F47" i="1"/>
  <c r="E49" i="4" s="1"/>
  <c r="S49" i="4" s="1"/>
  <c r="F31" i="1"/>
  <c r="E45" i="4" s="1"/>
  <c r="S45" i="4" s="1"/>
  <c r="F15" i="1"/>
  <c r="E41" i="4" s="1"/>
  <c r="S41" i="4" s="1"/>
  <c r="G42" i="1"/>
  <c r="G26" i="1"/>
  <c r="G10" i="1"/>
  <c r="H37" i="1"/>
  <c r="H21" i="1"/>
  <c r="L48" i="1"/>
  <c r="L32" i="1"/>
  <c r="L16" i="1"/>
  <c r="M43" i="1"/>
  <c r="L48" i="4" s="1"/>
  <c r="M27" i="1"/>
  <c r="L44" i="4" s="1"/>
  <c r="M11" i="1"/>
  <c r="L40" i="4" s="1"/>
  <c r="N38" i="1"/>
  <c r="N22" i="1"/>
  <c r="F46" i="1"/>
  <c r="F30" i="1"/>
  <c r="F14" i="1"/>
  <c r="G41" i="1"/>
  <c r="G25" i="1"/>
  <c r="H9" i="1"/>
  <c r="H36" i="1"/>
  <c r="H20" i="1"/>
  <c r="L47" i="1"/>
  <c r="K49" i="4" s="1"/>
  <c r="L31" i="1"/>
  <c r="K45" i="4" s="1"/>
  <c r="L15" i="1"/>
  <c r="K41" i="4" s="1"/>
  <c r="M42" i="1"/>
  <c r="M26" i="1"/>
  <c r="M10" i="1"/>
  <c r="N37" i="1"/>
  <c r="N21" i="1"/>
  <c r="L41" i="1"/>
  <c r="F45" i="1"/>
  <c r="F29" i="1"/>
  <c r="F13" i="1"/>
  <c r="G40" i="1"/>
  <c r="G24" i="1"/>
  <c r="H51" i="1"/>
  <c r="G50" i="4" s="1"/>
  <c r="H35" i="1"/>
  <c r="G46" i="4" s="1"/>
  <c r="H19" i="1"/>
  <c r="G42" i="4" s="1"/>
  <c r="L46" i="1"/>
  <c r="L30" i="1"/>
  <c r="L14" i="1"/>
  <c r="M41" i="1"/>
  <c r="M25" i="1"/>
  <c r="N9" i="1"/>
  <c r="N36" i="1"/>
  <c r="N20" i="1"/>
  <c r="H46" i="1"/>
  <c r="F44" i="1"/>
  <c r="F28" i="1"/>
  <c r="F12" i="1"/>
  <c r="G39" i="1"/>
  <c r="F47" i="4" s="1"/>
  <c r="G23" i="1"/>
  <c r="F43" i="4" s="1"/>
  <c r="H50" i="1"/>
  <c r="H34" i="1"/>
  <c r="H18" i="1"/>
  <c r="L45" i="1"/>
  <c r="L29" i="1"/>
  <c r="L13" i="1"/>
  <c r="M40" i="1"/>
  <c r="M24" i="1"/>
  <c r="N51" i="1"/>
  <c r="M50" i="4" s="1"/>
  <c r="N35" i="1"/>
  <c r="M46" i="4" s="1"/>
  <c r="N19" i="1"/>
  <c r="M42" i="4" s="1"/>
  <c r="G51" i="1"/>
  <c r="F50" i="4" s="1"/>
  <c r="G19" i="1"/>
  <c r="F42" i="4" s="1"/>
  <c r="F39" i="1"/>
  <c r="E47" i="4" s="1"/>
  <c r="S47" i="4" s="1"/>
  <c r="F43" i="1"/>
  <c r="E48" i="4" s="1"/>
  <c r="F27" i="1"/>
  <c r="E44" i="4" s="1"/>
  <c r="F11" i="1"/>
  <c r="E40" i="4" s="1"/>
  <c r="G38" i="1"/>
  <c r="G22" i="1"/>
  <c r="H49" i="1"/>
  <c r="H33" i="1"/>
  <c r="H17" i="1"/>
  <c r="L44" i="1"/>
  <c r="L28" i="1"/>
  <c r="L12" i="1"/>
  <c r="M39" i="1"/>
  <c r="L47" i="4" s="1"/>
  <c r="M23" i="1"/>
  <c r="L43" i="4" s="1"/>
  <c r="N50" i="1"/>
  <c r="N34" i="1"/>
  <c r="N18" i="1"/>
  <c r="F42" i="1"/>
  <c r="F26" i="1"/>
  <c r="F10" i="1"/>
  <c r="G37" i="1"/>
  <c r="G21" i="1"/>
  <c r="H48" i="1"/>
  <c r="H32" i="1"/>
  <c r="H16" i="1"/>
  <c r="L43" i="1"/>
  <c r="K48" i="4" s="1"/>
  <c r="L27" i="1"/>
  <c r="K44" i="4" s="1"/>
  <c r="L11" i="1"/>
  <c r="K40" i="4" s="1"/>
  <c r="M38" i="1"/>
  <c r="M22" i="1"/>
  <c r="N49" i="1"/>
  <c r="N33" i="1"/>
  <c r="N17" i="1"/>
  <c r="F41" i="1"/>
  <c r="F25" i="1"/>
  <c r="G9" i="1"/>
  <c r="G36" i="1"/>
  <c r="G20" i="1"/>
  <c r="H47" i="1"/>
  <c r="G49" i="4" s="1"/>
  <c r="H31" i="1"/>
  <c r="G45" i="4" s="1"/>
  <c r="H15" i="1"/>
  <c r="G41" i="4" s="1"/>
  <c r="L42" i="1"/>
  <c r="L26" i="1"/>
  <c r="L10" i="1"/>
  <c r="M37" i="1"/>
  <c r="M21" i="1"/>
  <c r="N48" i="1"/>
  <c r="N32" i="1"/>
  <c r="S44" i="4" l="1"/>
  <c r="S48" i="4"/>
  <c r="K10" i="5" l="1"/>
  <c r="M10" i="5"/>
  <c r="J10" i="5"/>
  <c r="L10" i="5"/>
  <c r="I10" i="5"/>
  <c r="H10" i="5"/>
  <c r="G10" i="5"/>
  <c r="F10" i="5"/>
  <c r="D10" i="5"/>
  <c r="R10" i="5"/>
  <c r="Q10" i="5"/>
  <c r="C10" i="5"/>
  <c r="P10" i="5"/>
  <c r="O10" i="5"/>
  <c r="B10" i="5"/>
  <c r="E10" i="5"/>
  <c r="N10" i="5"/>
  <c r="L11" i="5"/>
  <c r="M11" i="5"/>
  <c r="K11" i="5"/>
  <c r="J11" i="5"/>
  <c r="I11" i="5"/>
  <c r="N11" i="5"/>
  <c r="H11" i="5"/>
  <c r="G11" i="5"/>
  <c r="F11" i="5"/>
  <c r="D11" i="5"/>
  <c r="R11" i="5"/>
  <c r="Q11" i="5"/>
  <c r="C11" i="5"/>
  <c r="P11" i="5"/>
  <c r="B11" i="5"/>
  <c r="E11" i="5"/>
  <c r="O11" i="5"/>
  <c r="M12" i="5"/>
  <c r="L12" i="5"/>
  <c r="O12" i="5"/>
  <c r="K12" i="5"/>
  <c r="J12" i="5"/>
  <c r="N12" i="5"/>
  <c r="I12" i="5"/>
  <c r="H12" i="5"/>
  <c r="G12" i="5"/>
  <c r="F12" i="5"/>
  <c r="B12" i="5"/>
  <c r="C12" i="5"/>
  <c r="D12" i="5"/>
  <c r="R12" i="5"/>
  <c r="Q12" i="5"/>
  <c r="E12" i="5"/>
  <c r="P12" i="5"/>
  <c r="P13" i="5"/>
  <c r="N13" i="5"/>
  <c r="M13" i="5"/>
  <c r="L13" i="5"/>
  <c r="K13" i="5"/>
  <c r="J13" i="5"/>
  <c r="O13" i="5"/>
  <c r="I13" i="5"/>
  <c r="H13" i="5"/>
  <c r="G13" i="5"/>
  <c r="D13" i="5"/>
  <c r="B13" i="5"/>
  <c r="C13" i="5"/>
  <c r="F13" i="5"/>
  <c r="E13" i="5"/>
  <c r="Q13" i="5"/>
  <c r="O14" i="5"/>
  <c r="N14" i="5"/>
  <c r="M14" i="5"/>
  <c r="Q14" i="5"/>
  <c r="L14" i="5"/>
  <c r="P14" i="5"/>
  <c r="K14" i="5"/>
  <c r="J14" i="5"/>
  <c r="I14" i="5"/>
  <c r="H14" i="5"/>
  <c r="G14" i="5"/>
  <c r="D14" i="5"/>
  <c r="F14" i="5"/>
  <c r="B14" i="5"/>
  <c r="C14" i="5"/>
  <c r="E14" i="5"/>
  <c r="R14" i="5"/>
  <c r="P15" i="5"/>
  <c r="O15" i="5"/>
  <c r="N15" i="5"/>
  <c r="M15" i="5"/>
  <c r="Q15" i="5"/>
  <c r="L15" i="5"/>
  <c r="R15" i="5"/>
  <c r="K15" i="5"/>
  <c r="J15" i="5"/>
  <c r="I15" i="5"/>
  <c r="H15" i="5"/>
  <c r="F15" i="5"/>
  <c r="D15" i="5"/>
  <c r="G15" i="5"/>
  <c r="B15" i="5"/>
  <c r="E15" i="5"/>
  <c r="C15" i="5"/>
  <c r="Q16" i="5"/>
  <c r="C16" i="5"/>
  <c r="P16" i="5"/>
  <c r="O16" i="5"/>
  <c r="N16" i="5"/>
  <c r="B16" i="5"/>
  <c r="R16" i="5"/>
  <c r="M16" i="5"/>
  <c r="L16" i="5"/>
  <c r="K16" i="5"/>
  <c r="J16" i="5"/>
  <c r="G16" i="5"/>
  <c r="F16" i="5"/>
  <c r="I16" i="5"/>
  <c r="H16" i="5"/>
  <c r="E16" i="5"/>
  <c r="D16" i="5"/>
  <c r="C17" i="5"/>
  <c r="Q17" i="5"/>
  <c r="D17" i="5"/>
  <c r="P17" i="5"/>
  <c r="O17" i="5"/>
  <c r="N17" i="5"/>
  <c r="B17" i="5"/>
  <c r="M17" i="5"/>
  <c r="L17" i="5"/>
  <c r="K17" i="5"/>
  <c r="H17" i="5"/>
  <c r="J17" i="5"/>
  <c r="G17" i="5"/>
  <c r="I17" i="5"/>
  <c r="E17" i="5"/>
  <c r="F17" i="5"/>
  <c r="B18" i="5"/>
  <c r="C18" i="5"/>
  <c r="R18" i="5"/>
  <c r="D18" i="5"/>
  <c r="Q18" i="5"/>
  <c r="P18" i="5"/>
  <c r="O18" i="5"/>
  <c r="N18" i="5"/>
  <c r="M18" i="5"/>
  <c r="L18" i="5"/>
  <c r="I18" i="5"/>
  <c r="H18" i="5"/>
  <c r="J18" i="5"/>
  <c r="G18" i="5"/>
  <c r="K18" i="5"/>
  <c r="E18" i="5"/>
  <c r="F19" i="5"/>
  <c r="D19" i="5"/>
  <c r="B19" i="5"/>
  <c r="C19" i="5"/>
  <c r="R19" i="5"/>
  <c r="Q19" i="5"/>
  <c r="P19" i="5"/>
  <c r="O19" i="5"/>
  <c r="N19" i="5"/>
  <c r="M19" i="5"/>
  <c r="L19" i="5"/>
  <c r="J19" i="5"/>
  <c r="I19" i="5"/>
  <c r="H19" i="5"/>
  <c r="K19" i="5"/>
  <c r="E19" i="5"/>
  <c r="G19" i="5"/>
  <c r="F20" i="5"/>
  <c r="D20" i="5"/>
  <c r="B20" i="5"/>
  <c r="C20" i="5"/>
  <c r="R20" i="5"/>
  <c r="Q20" i="5"/>
  <c r="G20" i="5"/>
  <c r="P20" i="5"/>
  <c r="O20" i="5"/>
  <c r="N20" i="5"/>
  <c r="K20" i="5"/>
  <c r="M20" i="5"/>
  <c r="L20" i="5"/>
  <c r="J20" i="5"/>
  <c r="I20" i="5"/>
  <c r="E20" i="5"/>
  <c r="H20" i="5"/>
</calcChain>
</file>

<file path=xl/sharedStrings.xml><?xml version="1.0" encoding="utf-8"?>
<sst xmlns="http://schemas.openxmlformats.org/spreadsheetml/2006/main" count="338" uniqueCount="138">
  <si>
    <t>Date</t>
  </si>
  <si>
    <t>BEV</t>
  </si>
  <si>
    <t>Quarter</t>
  </si>
  <si>
    <t>BEV forecast</t>
  </si>
  <si>
    <t>2022 Q2</t>
  </si>
  <si>
    <t>2023 Q2</t>
  </si>
  <si>
    <t>2024 Q2</t>
  </si>
  <si>
    <t>2025 Q2</t>
  </si>
  <si>
    <t>2026 Q2</t>
  </si>
  <si>
    <t>2027 Q2</t>
  </si>
  <si>
    <t>2028 Q2</t>
  </si>
  <si>
    <t>2022 Q3</t>
  </si>
  <si>
    <t>2023 Q3</t>
  </si>
  <si>
    <t>2024 Q3</t>
  </si>
  <si>
    <t>2025 Q3</t>
  </si>
  <si>
    <t>2026 Q3</t>
  </si>
  <si>
    <t>2027 Q3</t>
  </si>
  <si>
    <t>2028 Q3</t>
  </si>
  <si>
    <t>2022 Q4</t>
  </si>
  <si>
    <t>2023 Q1</t>
  </si>
  <si>
    <t>2023 Q4</t>
  </si>
  <si>
    <t>2024 Q1</t>
  </si>
  <si>
    <t>2024 Q4</t>
  </si>
  <si>
    <t>2025 Q1</t>
  </si>
  <si>
    <t>2025 Q4</t>
  </si>
  <si>
    <t>2026 Q1</t>
  </si>
  <si>
    <t>2026 Q4</t>
  </si>
  <si>
    <t>2027 Q1</t>
  </si>
  <si>
    <t>2027 Q4</t>
  </si>
  <si>
    <t>2028 Q1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</si>
  <si>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</si>
  <si>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</si>
  <si>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</si>
  <si>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</si>
  <si>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</si>
  <si>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</si>
  <si>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</si>
  <si>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</si>
  <si>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</si>
  <si>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</si>
  <si>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</si>
  <si>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</si>
  <si>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</si>
  <si>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</si>
  <si>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</si>
  <si>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</si>
  <si>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</si>
  <si>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Wholesale market</t>
  </si>
  <si>
    <t>Manheim market share</t>
  </si>
  <si>
    <t>percent of wholesale</t>
  </si>
  <si>
    <t>Manheim Market Share</t>
  </si>
  <si>
    <t>PHEV forecast</t>
  </si>
  <si>
    <t>BEV_low</t>
  </si>
  <si>
    <t>BEV_high</t>
  </si>
  <si>
    <t>PHEV</t>
  </si>
  <si>
    <t>PHEV_low</t>
  </si>
  <si>
    <t>PHEV_high</t>
  </si>
  <si>
    <t>000s unless stated</t>
  </si>
  <si>
    <t>Churn</t>
  </si>
  <si>
    <t>Age (years)</t>
  </si>
  <si>
    <t>New Car Sales</t>
  </si>
  <si>
    <t>EVs</t>
  </si>
  <si>
    <t>Total</t>
  </si>
  <si>
    <t>EV Car Parc (closing)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</si>
  <si>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</si>
  <si>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</si>
  <si>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</si>
  <si>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</si>
  <si>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</si>
  <si>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</si>
  <si>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</si>
  <si>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</si>
  <si>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</si>
  <si>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</si>
  <si>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10+</t>
  </si>
  <si>
    <t>Closing EV Parc per ACEA</t>
  </si>
  <si>
    <t>Total Car Parc (closing)</t>
  </si>
  <si>
    <t>EV share of Total Parc</t>
  </si>
  <si>
    <t>% of Parc</t>
  </si>
  <si>
    <t>Total EVs</t>
  </si>
  <si>
    <t>Up to 1 year</t>
  </si>
  <si>
    <t>1-2 years</t>
  </si>
  <si>
    <t>2-3 years</t>
  </si>
  <si>
    <t>3-4 years</t>
  </si>
  <si>
    <t>4-5 years</t>
  </si>
  <si>
    <t>5-6 years</t>
  </si>
  <si>
    <t>6-7 years</t>
  </si>
  <si>
    <t>7-8 years</t>
  </si>
  <si>
    <t>8-9 years</t>
  </si>
  <si>
    <t>9-10 years</t>
  </si>
  <si>
    <t>10+ years</t>
  </si>
  <si>
    <t>BEV and PHEV Forecasts</t>
  </si>
  <si>
    <t>Manheim Market Share forecast</t>
  </si>
  <si>
    <t>BEV and PHEV data from 2014-2022</t>
  </si>
  <si>
    <t>battery</t>
  </si>
  <si>
    <t>hybrid</t>
  </si>
  <si>
    <t>mild_hybrid</t>
  </si>
  <si>
    <t>plugin_hybrid</t>
  </si>
  <si>
    <t>date</t>
  </si>
  <si>
    <t>(quarterly data sourced from ONS)</t>
  </si>
  <si>
    <t>EV forecast yearly summary</t>
  </si>
  <si>
    <t>Year</t>
  </si>
  <si>
    <t>EV forecast (BEV + PHEV)</t>
  </si>
  <si>
    <t>EV</t>
  </si>
  <si>
    <t>EV_low</t>
  </si>
  <si>
    <t>EV_high</t>
  </si>
  <si>
    <t>Quarterly forecast based on ONS data</t>
  </si>
  <si>
    <t>Comparing naive and strategic forecasts</t>
  </si>
  <si>
    <t>Strategic forecast</t>
  </si>
  <si>
    <t>Car Parc forecast</t>
  </si>
  <si>
    <t>UK EV Car Parc</t>
  </si>
  <si>
    <t>percent of car parc</t>
  </si>
  <si>
    <t>Brunting</t>
  </si>
  <si>
    <t>Bristol</t>
  </si>
  <si>
    <t>Vehicle Solutions Leeds</t>
  </si>
  <si>
    <t>Leeds</t>
  </si>
  <si>
    <t>Colchester</t>
  </si>
  <si>
    <t>Wimbledon</t>
  </si>
  <si>
    <t>Vehicle Solutions Coventry</t>
  </si>
  <si>
    <t>Manchester</t>
  </si>
  <si>
    <t>Plymouth</t>
  </si>
  <si>
    <t>Washington</t>
  </si>
  <si>
    <t>Northampton</t>
  </si>
  <si>
    <t>Mansfield</t>
  </si>
  <si>
    <t>Shotts</t>
  </si>
  <si>
    <t>ManheimOnline</t>
  </si>
  <si>
    <t>Birmingham</t>
  </si>
  <si>
    <t>Gloucester</t>
  </si>
  <si>
    <t>Haydock</t>
  </si>
  <si>
    <t>Percent of Total</t>
  </si>
  <si>
    <t>Branch Forecasts</t>
  </si>
  <si>
    <t>manheim mid</t>
  </si>
  <si>
    <t>manheim high</t>
  </si>
  <si>
    <t>PHEV - MID</t>
  </si>
  <si>
    <t>PHEV - High</t>
  </si>
  <si>
    <t>BEV - Mid</t>
  </si>
  <si>
    <t>BEV - HIGH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</si>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</sst>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,_);\(#,##0,\);\-_)"/>
    <numFmt numFmtId="165" formatCode="#,##0.0%_);\-#,##0.0%_);\-_)"/>
    <numFmt numFmtId="166" formatCode="#,##0_);\(#,##0\);\-_)"/>
    <numFmt numFmtId="167" formatCode="#,##0%_);\-#,##0%_);\-_)"/>
    <numFmt numFmtId="168" formatCode="_-* #,##0_-;\-* #,##0_-;_-* &quot;-&quot;??_-;_-@_-"/>
    <numFmt numFmtId="169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/>
    <xf numFmtId="2" fontId="0" fillId="0" borderId="1" xfId="0" applyNumberFormat="1" applyBorder="1"/>
    <xf numFmtId="0" fontId="0" fillId="0" borderId="2" xfId="0" applyFill="1" applyBorder="1" applyAlignment="1"/>
    <xf numFmtId="0" fontId="0" fillId="0" borderId="3" xfId="0" applyFill="1" applyBorder="1" applyAlignment="1"/>
    <xf numFmtId="0" fontId="3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" fontId="0" fillId="0" borderId="1" xfId="0" applyNumberFormat="1" applyBorder="1"/>
    <xf numFmtId="14" fontId="0" fillId="0" borderId="1" xfId="0" applyNumberFormat="1" applyBorder="1"/>
    <xf numFmtId="0" fontId="1" fillId="0" borderId="5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 applyAlignment="1"/>
    <xf numFmtId="0" fontId="1" fillId="3" borderId="1" xfId="0" applyFont="1" applyFill="1" applyBorder="1"/>
    <xf numFmtId="0" fontId="1" fillId="0" borderId="1" xfId="0" applyFont="1" applyFill="1" applyBorder="1"/>
    <xf numFmtId="0" fontId="8" fillId="0" borderId="0" xfId="0" applyFont="1" applyFill="1"/>
    <xf numFmtId="168" fontId="0" fillId="0" borderId="1" xfId="1" applyNumberFormat="1" applyFont="1" applyBorder="1"/>
    <xf numFmtId="168" fontId="0" fillId="0" borderId="5" xfId="1" applyNumberFormat="1" applyFont="1" applyBorder="1"/>
    <xf numFmtId="0" fontId="10" fillId="0" borderId="0" xfId="0" applyFont="1" applyAlignment="1">
      <alignment vertical="center"/>
    </xf>
    <xf numFmtId="0" fontId="1" fillId="2" borderId="1" xfId="0" applyFont="1" applyFill="1" applyBorder="1"/>
    <xf numFmtId="168" fontId="0" fillId="0" borderId="1" xfId="0" applyNumberFormat="1" applyBorder="1"/>
    <xf numFmtId="168" fontId="0" fillId="0" borderId="0" xfId="0" applyNumberFormat="1"/>
    <xf numFmtId="0" fontId="1" fillId="0" borderId="0" xfId="0" applyFont="1" applyAlignment="1">
      <alignment wrapText="1"/>
    </xf>
    <xf numFmtId="169" fontId="0" fillId="0" borderId="0" xfId="0" applyNumberFormat="1"/>
    <xf numFmtId="0" fontId="11" fillId="0" borderId="0" xfId="0" applyFont="1" applyAlignment="1">
      <alignment wrapText="1"/>
    </xf>
    <xf numFmtId="0" fontId="12" fillId="0" borderId="0" xfId="0" applyFont="1" applyAlignment="1"/>
    <xf numFmtId="169" fontId="13" fillId="0" borderId="0" xfId="0" applyNumberFormat="1" applyFont="1"/>
    <xf numFmtId="1" fontId="0" fillId="0" borderId="0" xfId="0" applyNumberFormat="1"/>
    <xf numFmtId="0" fontId="0" fillId="0" borderId="1" xfId="0" applyFill="1" applyBorder="1" applyAlignment="1"/>
    <xf numFmtId="0" fontId="14" fillId="0" borderId="0" xfId="0" applyFont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BEV</a:t>
            </a:r>
            <a:r>
              <a:rPr lang="en-GB" baseline="0"/>
              <a:t> Car Parc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data'!$C$9:$C$51</c:f>
              <c:numCache>
                <c:formatCode>_-* #,##0_-;\-* #,##0_-;_-* "-"??_-;_-@_-</c:formatCode>
                <c:ptCount val="43"/>
                <c:pt idx="0">
                  <c:v>508620.604032751</c:v>
                </c:pt>
                <c:pt idx="1">
                  <c:v>581288.078660578</c:v>
                </c:pt>
                <c:pt idx="2">
                  <c:v>662645.95784376108</c:v>
                </c:pt>
                <c:pt idx="3">
                  <c:v>742726.254279088</c:v>
                </c:pt>
                <c:pt idx="4">
                  <c:v>826080.95985430398</c:v>
                </c:pt>
                <c:pt idx="5">
                  <c:v>912571.04713301605</c:v>
                </c:pt>
                <c:pt idx="6">
                  <c:v>1004266.3630826799</c:v>
                </c:pt>
                <c:pt idx="7">
                  <c:v>1095197.3425489401</c:v>
                </c:pt>
                <c:pt idx="8">
                  <c:v>1188090.46955595</c:v>
                </c:pt>
                <c:pt idx="9">
                  <c:v>1282863.16745095</c:v>
                </c:pt>
                <c:pt idx="10">
                  <c:v>1380755.8263959</c:v>
                </c:pt>
                <c:pt idx="11">
                  <c:v>1478190.3680021302</c:v>
                </c:pt>
                <c:pt idx="12">
                  <c:v>1576801.0192374398</c:v>
                </c:pt>
                <c:pt idx="13">
                  <c:v>1676538.2987262302</c:v>
                </c:pt>
                <c:pt idx="14">
                  <c:v>1778145.6965630599</c:v>
                </c:pt>
                <c:pt idx="15">
                  <c:v>1879478.49722752</c:v>
                </c:pt>
                <c:pt idx="16">
                  <c:v>1981516.2635417001</c:v>
                </c:pt>
                <c:pt idx="17">
                  <c:v>2084229.3364427402</c:v>
                </c:pt>
                <c:pt idx="18">
                  <c:v>2188063.3674197402</c:v>
                </c:pt>
                <c:pt idx="19">
                  <c:v>2291732.8035174301</c:v>
                </c:pt>
                <c:pt idx="20">
                  <c:v>2395824.79947798</c:v>
                </c:pt>
                <c:pt idx="21">
                  <c:v>2500321.5775201302</c:v>
                </c:pt>
                <c:pt idx="22">
                  <c:v>2605490.2633294798</c:v>
                </c:pt>
                <c:pt idx="23">
                  <c:v>2710560.2901612399</c:v>
                </c:pt>
                <c:pt idx="24">
                  <c:v>2815883.6014469299</c:v>
                </c:pt>
                <c:pt idx="25">
                  <c:v>2921449.5410974002</c:v>
                </c:pt>
                <c:pt idx="26">
                  <c:v>3027418.2255585101</c:v>
                </c:pt>
                <c:pt idx="27">
                  <c:v>3133327.7733446499</c:v>
                </c:pt>
                <c:pt idx="28">
                  <c:v>3239389.1410745601</c:v>
                </c:pt>
                <c:pt idx="29">
                  <c:v>3345595.9414361701</c:v>
                </c:pt>
                <c:pt idx="30">
                  <c:v>3452044.1490122997</c:v>
                </c:pt>
                <c:pt idx="31">
                  <c:v>3558456.9097754601</c:v>
                </c:pt>
                <c:pt idx="32">
                  <c:v>3664960.6721574399</c:v>
                </c:pt>
                <c:pt idx="33">
                  <c:v>3771551.6075720401</c:v>
                </c:pt>
                <c:pt idx="34">
                  <c:v>3878287.2436548802</c:v>
                </c:pt>
                <c:pt idx="35">
                  <c:v>3985001.6327442001</c:v>
                </c:pt>
                <c:pt idx="36">
                  <c:v>4091770.5686500999</c:v>
                </c:pt>
                <c:pt idx="37">
                  <c:v>4198591.7564992495</c:v>
                </c:pt>
                <c:pt idx="38">
                  <c:v>4305499.6786385505</c:v>
                </c:pt>
                <c:pt idx="39">
                  <c:v>4412394.8652257407</c:v>
                </c:pt>
                <c:pt idx="40">
                  <c:v>4519322.7474422799</c:v>
                </c:pt>
                <c:pt idx="41">
                  <c:v>4626281.9497298393</c:v>
                </c:pt>
                <c:pt idx="42">
                  <c:v>4733293.1409762595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E-45BF-ADBC-39B26460F3BE}"/>
            </c:ext>
          </c:extLst>
        </c:ser>
        <c:ser>
          <c:idx val="1"/>
          <c:order val="1"/>
          <c:tx>
            <c:v>BEV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data'!$D$9:$D$51</c:f>
              <c:numCache>
                <c:formatCode>_-* #,##0_-;\-* #,##0_-;_-* "-"??_-;_-@_-</c:formatCode>
                <c:ptCount val="43"/>
                <c:pt idx="0">
                  <c:v>496950.28982709697</c:v>
                </c:pt>
                <c:pt idx="1">
                  <c:v>559051.57342232997</c:v>
                </c:pt>
                <c:pt idx="2">
                  <c:v>627004.56516196695</c:v>
                </c:pt>
                <c:pt idx="3">
                  <c:v>691961.335434529</c:v>
                </c:pt>
                <c:pt idx="4">
                  <c:v>753639.81306083396</c:v>
                </c:pt>
                <c:pt idx="5">
                  <c:v>815594.92515464395</c:v>
                </c:pt>
                <c:pt idx="6">
                  <c:v>879625.77954693499</c:v>
                </c:pt>
                <c:pt idx="7">
                  <c:v>940436.33933311794</c:v>
                </c:pt>
                <c:pt idx="8">
                  <c:v>998500.16383440304</c:v>
                </c:pt>
                <c:pt idx="9">
                  <c:v>1055414.8030842501</c:v>
                </c:pt>
                <c:pt idx="10">
                  <c:v>1112403.5580414101</c:v>
                </c:pt>
                <c:pt idx="11">
                  <c:v>1166305.79968049</c:v>
                </c:pt>
                <c:pt idx="12">
                  <c:v>1217669.1341381099</c:v>
                </c:pt>
                <c:pt idx="13">
                  <c:v>1267309.0439139002</c:v>
                </c:pt>
                <c:pt idx="14">
                  <c:v>1316011.1130217798</c:v>
                </c:pt>
                <c:pt idx="15">
                  <c:v>1361892.82904697</c:v>
                </c:pt>
                <c:pt idx="16">
                  <c:v>1405399.8783046701</c:v>
                </c:pt>
                <c:pt idx="17">
                  <c:v>1446979.91258693</c:v>
                </c:pt>
                <c:pt idx="18">
                  <c:v>1487132.91738554</c:v>
                </c:pt>
                <c:pt idx="19">
                  <c:v>1524743.14101344</c:v>
                </c:pt>
                <c:pt idx="20">
                  <c:v>1560136.8866452598</c:v>
                </c:pt>
                <c:pt idx="21">
                  <c:v>1593573.7531327701</c:v>
                </c:pt>
                <c:pt idx="22">
                  <c:v>1625373.15939566</c:v>
                </c:pt>
                <c:pt idx="23">
                  <c:v>1654878.4599606299</c:v>
                </c:pt>
                <c:pt idx="24">
                  <c:v>1682318.65199362</c:v>
                </c:pt>
                <c:pt idx="25">
                  <c:v>1707851.84870995</c:v>
                </c:pt>
                <c:pt idx="26">
                  <c:v>1731684.2915269102</c:v>
                </c:pt>
                <c:pt idx="27">
                  <c:v>1753433.3928901402</c:v>
                </c:pt>
                <c:pt idx="28">
                  <c:v>1773257.3831136101</c:v>
                </c:pt>
                <c:pt idx="29">
                  <c:v>1791257.2781967202</c:v>
                </c:pt>
                <c:pt idx="30">
                  <c:v>1807568.4185572199</c:v>
                </c:pt>
                <c:pt idx="31">
                  <c:v>1821971.1991290501</c:v>
                </c:pt>
                <c:pt idx="32">
                  <c:v>1834574.9061899201</c:v>
                </c:pt>
                <c:pt idx="33">
                  <c:v>1845447.2431832401</c:v>
                </c:pt>
                <c:pt idx="34">
                  <c:v>1854678.9585933599</c:v>
                </c:pt>
                <c:pt idx="35">
                  <c:v>1862146.91897063</c:v>
                </c:pt>
                <c:pt idx="36">
                  <c:v>1867927.36769457</c:v>
                </c:pt>
                <c:pt idx="37">
                  <c:v>1872067.8886036701</c:v>
                </c:pt>
                <c:pt idx="38">
                  <c:v>1874630.9764749301</c:v>
                </c:pt>
                <c:pt idx="39">
                  <c:v>1875550.24920344</c:v>
                </c:pt>
                <c:pt idx="40">
                  <c:v>1874879.8716486299</c:v>
                </c:pt>
                <c:pt idx="41">
                  <c:v>1872654.8476645499</c:v>
                </c:pt>
                <c:pt idx="42">
                  <c:v>1868919.57744707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E-45BF-ADBC-39B26460F3BE}"/>
            </c:ext>
          </c:extLst>
        </c:ser>
        <c:ser>
          <c:idx val="2"/>
          <c:order val="2"/>
          <c:tx>
            <c:v>BEV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data'!$E$9:$E$51</c:f>
              <c:numCache>
                <c:formatCode>_-* #,##0_-;\-* #,##0_-;_-* "-"??_-;_-@_-</c:formatCode>
                <c:ptCount val="43"/>
                <c:pt idx="0">
                  <c:v>520290.91823840601</c:v>
                </c:pt>
                <c:pt idx="1">
                  <c:v>603524.58389882697</c:v>
                </c:pt>
                <c:pt idx="2">
                  <c:v>698287.35052555392</c:v>
                </c:pt>
                <c:pt idx="3">
                  <c:v>793491.17312364699</c:v>
                </c:pt>
                <c:pt idx="4">
                  <c:v>898522.10664777295</c:v>
                </c:pt>
                <c:pt idx="5">
                  <c:v>1009547.16911139</c:v>
                </c:pt>
                <c:pt idx="6">
                  <c:v>1128906.9466184301</c:v>
                </c:pt>
                <c:pt idx="7">
                  <c:v>1249958.3457647599</c:v>
                </c:pt>
                <c:pt idx="8">
                  <c:v>1377680.7752775</c:v>
                </c:pt>
                <c:pt idx="9">
                  <c:v>1510311.53181765</c:v>
                </c:pt>
                <c:pt idx="10">
                  <c:v>1649108.0947503799</c:v>
                </c:pt>
                <c:pt idx="11">
                  <c:v>1790074.9363237801</c:v>
                </c:pt>
                <c:pt idx="12">
                  <c:v>1935932.9043367801</c:v>
                </c:pt>
                <c:pt idx="13">
                  <c:v>2085767.5535385602</c:v>
                </c:pt>
                <c:pt idx="14">
                  <c:v>2240280.2801043401</c:v>
                </c:pt>
                <c:pt idx="15">
                  <c:v>2397064.16540808</c:v>
                </c:pt>
                <c:pt idx="16">
                  <c:v>2557632.6487787399</c:v>
                </c:pt>
                <c:pt idx="17">
                  <c:v>2721478.7602985399</c:v>
                </c:pt>
                <c:pt idx="18">
                  <c:v>2888993.8174539502</c:v>
                </c:pt>
                <c:pt idx="19">
                  <c:v>3058722.4660214102</c:v>
                </c:pt>
                <c:pt idx="20">
                  <c:v>3231512.71231069</c:v>
                </c:pt>
                <c:pt idx="21">
                  <c:v>3407069.4019074901</c:v>
                </c:pt>
                <c:pt idx="22">
                  <c:v>3585607.3672632901</c:v>
                </c:pt>
                <c:pt idx="23">
                  <c:v>3766242.1203618599</c:v>
                </c:pt>
                <c:pt idx="24">
                  <c:v>3949448.5509002502</c:v>
                </c:pt>
                <c:pt idx="25">
                  <c:v>4135047.2334848503</c:v>
                </c:pt>
                <c:pt idx="26">
                  <c:v>4323152.1595901204</c:v>
                </c:pt>
                <c:pt idx="27">
                  <c:v>4513222.1537991604</c:v>
                </c:pt>
                <c:pt idx="28">
                  <c:v>4705520.8990355209</c:v>
                </c:pt>
                <c:pt idx="29">
                  <c:v>4899934.6046756096</c:v>
                </c:pt>
                <c:pt idx="30">
                  <c:v>5096519.8794673895</c:v>
                </c:pt>
                <c:pt idx="31">
                  <c:v>5294942.6204218697</c:v>
                </c:pt>
                <c:pt idx="32">
                  <c:v>5495346.43812495</c:v>
                </c:pt>
                <c:pt idx="33">
                  <c:v>5697655.9719608407</c:v>
                </c:pt>
                <c:pt idx="34">
                  <c:v>5901895.5287164003</c:v>
                </c:pt>
                <c:pt idx="35">
                  <c:v>6107856.3465177706</c:v>
                </c:pt>
                <c:pt idx="36">
                  <c:v>6315613.7696056198</c:v>
                </c:pt>
                <c:pt idx="37">
                  <c:v>6525115.6243948303</c:v>
                </c:pt>
                <c:pt idx="38">
                  <c:v>6736368.3808021694</c:v>
                </c:pt>
                <c:pt idx="39">
                  <c:v>6949239.4812480295</c:v>
                </c:pt>
                <c:pt idx="40">
                  <c:v>7163765.6232359204</c:v>
                </c:pt>
                <c:pt idx="41">
                  <c:v>7379909.0517951297</c:v>
                </c:pt>
                <c:pt idx="42">
                  <c:v>7597666.7045054603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2E-45BF-ADBC-39B26460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822560"/>
        <c:axId val="1293832128"/>
      </c:lineChart>
      <c:dateAx>
        <c:axId val="129382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32128"/>
        <c:crosses val="autoZero"/>
        <c:auto val="1"/>
        <c:lblOffset val="100"/>
        <c:baseTimeUnit val="months"/>
      </c:dateAx>
      <c:valAx>
        <c:axId val="12938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BEV 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47090988626427"/>
          <c:y val="0.44320501603966173"/>
          <c:w val="0.2708624234470691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PHEV</a:t>
            </a:r>
            <a:r>
              <a:rPr lang="en-US" baseline="0"/>
              <a:t> Car Parc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PHEV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data'!$I$9:$I$51</c:f>
              <c:numCache>
                <c:formatCode>_-* #,##0_-;\-* #,##0_-;_-* "-"??_-;_-@_-</c:formatCode>
                <c:ptCount val="43"/>
                <c:pt idx="0">
                  <c:v>375651</c:v>
                </c:pt>
                <c:pt idx="1">
                  <c:v>402756</c:v>
                </c:pt>
                <c:pt idx="2">
                  <c:v>429861</c:v>
                </c:pt>
                <c:pt idx="3">
                  <c:v>456966</c:v>
                </c:pt>
                <c:pt idx="4">
                  <c:v>484071</c:v>
                </c:pt>
                <c:pt idx="5">
                  <c:v>511176</c:v>
                </c:pt>
                <c:pt idx="6">
                  <c:v>538281.00000000093</c:v>
                </c:pt>
                <c:pt idx="7">
                  <c:v>565386.00000000105</c:v>
                </c:pt>
                <c:pt idx="8">
                  <c:v>592491.00000000105</c:v>
                </c:pt>
                <c:pt idx="9">
                  <c:v>619596.00000000105</c:v>
                </c:pt>
                <c:pt idx="10">
                  <c:v>646701.00000000105</c:v>
                </c:pt>
                <c:pt idx="11">
                  <c:v>673806.00000000093</c:v>
                </c:pt>
                <c:pt idx="12">
                  <c:v>700911.00000000093</c:v>
                </c:pt>
                <c:pt idx="13">
                  <c:v>728016.00000000093</c:v>
                </c:pt>
                <c:pt idx="14">
                  <c:v>755121.00000000198</c:v>
                </c:pt>
                <c:pt idx="15">
                  <c:v>782226.0000000021</c:v>
                </c:pt>
                <c:pt idx="16">
                  <c:v>809331.00000000198</c:v>
                </c:pt>
                <c:pt idx="17">
                  <c:v>836436.00000000198</c:v>
                </c:pt>
                <c:pt idx="18">
                  <c:v>863541.00000000198</c:v>
                </c:pt>
                <c:pt idx="19">
                  <c:v>890646.00000000198</c:v>
                </c:pt>
                <c:pt idx="20">
                  <c:v>917751.00000000198</c:v>
                </c:pt>
                <c:pt idx="21">
                  <c:v>944856.0000000021</c:v>
                </c:pt>
                <c:pt idx="22">
                  <c:v>971961.00000000303</c:v>
                </c:pt>
                <c:pt idx="23">
                  <c:v>999066.00000000303</c:v>
                </c:pt>
                <c:pt idx="24">
                  <c:v>1026171</c:v>
                </c:pt>
                <c:pt idx="25">
                  <c:v>1053276</c:v>
                </c:pt>
                <c:pt idx="26">
                  <c:v>1080381</c:v>
                </c:pt>
                <c:pt idx="27">
                  <c:v>1107486</c:v>
                </c:pt>
                <c:pt idx="28">
                  <c:v>1134591</c:v>
                </c:pt>
                <c:pt idx="29">
                  <c:v>1161696</c:v>
                </c:pt>
                <c:pt idx="30">
                  <c:v>1188801</c:v>
                </c:pt>
                <c:pt idx="31">
                  <c:v>1215906</c:v>
                </c:pt>
                <c:pt idx="32">
                  <c:v>1243011</c:v>
                </c:pt>
                <c:pt idx="33">
                  <c:v>1270116.00000001</c:v>
                </c:pt>
                <c:pt idx="34">
                  <c:v>1297221.00000001</c:v>
                </c:pt>
                <c:pt idx="35">
                  <c:v>1324326.00000001</c:v>
                </c:pt>
                <c:pt idx="36">
                  <c:v>1351431.00000001</c:v>
                </c:pt>
                <c:pt idx="37">
                  <c:v>1378536.00000001</c:v>
                </c:pt>
                <c:pt idx="38">
                  <c:v>1405641.00000001</c:v>
                </c:pt>
                <c:pt idx="39">
                  <c:v>1432746.00000001</c:v>
                </c:pt>
                <c:pt idx="40">
                  <c:v>1459851.0000000098</c:v>
                </c:pt>
                <c:pt idx="41">
                  <c:v>1486956.00000001</c:v>
                </c:pt>
                <c:pt idx="42">
                  <c:v>1514061.00000001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1-453E-A62E-4D8FC289A80B}"/>
            </c:ext>
          </c:extLst>
        </c:ser>
        <c:ser>
          <c:idx val="1"/>
          <c:order val="1"/>
          <c:tx>
            <c:v>PHEV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data'!$J$9:$J$51</c:f>
              <c:numCache>
                <c:formatCode>_-* #,##0_-;\-* #,##0_-;_-* "-"??_-;_-@_-</c:formatCode>
                <c:ptCount val="43"/>
                <c:pt idx="0">
                  <c:v>367968.128245331</c:v>
                </c:pt>
                <c:pt idx="1">
                  <c:v>385576.57649414701</c:v>
                </c:pt>
                <c:pt idx="2">
                  <c:v>401114.32614750497</c:v>
                </c:pt>
                <c:pt idx="3">
                  <c:v>414885.178335484</c:v>
                </c:pt>
                <c:pt idx="4">
                  <c:v>427093.29811647302</c:v>
                </c:pt>
                <c:pt idx="5">
                  <c:v>437886.07453762105</c:v>
                </c:pt>
                <c:pt idx="6">
                  <c:v>447376.03547211003</c:v>
                </c:pt>
                <c:pt idx="7">
                  <c:v>455652.64247671398</c:v>
                </c:pt>
                <c:pt idx="8">
                  <c:v>462789.19683740899</c:v>
                </c:pt>
                <c:pt idx="9">
                  <c:v>468847.17054021003</c:v>
                </c:pt>
                <c:pt idx="10">
                  <c:v>473879.07341156498</c:v>
                </c:pt>
                <c:pt idx="11">
                  <c:v>477930.43501255603</c:v>
                </c:pt>
                <c:pt idx="12">
                  <c:v>481041.22361286299</c:v>
                </c:pt>
                <c:pt idx="13">
                  <c:v>483246.89211529697</c:v>
                </c:pt>
                <c:pt idx="14">
                  <c:v>484579.16808785498</c:v>
                </c:pt>
                <c:pt idx="15">
                  <c:v>485066.66307039198</c:v>
                </c:pt>
                <c:pt idx="16">
                  <c:v>484735.35101242195</c:v>
                </c:pt>
                <c:pt idx="17">
                  <c:v>483608.94987084204</c:v>
                </c:pt>
                <c:pt idx="18">
                  <c:v>481709.23017882399</c:v>
                </c:pt>
                <c:pt idx="19">
                  <c:v>479056.26761561597</c:v>
                </c:pt>
                <c:pt idx="20">
                  <c:v>475668.65199448197</c:v>
                </c:pt>
                <c:pt idx="21">
                  <c:v>471563.66188005998</c:v>
                </c:pt>
                <c:pt idx="22">
                  <c:v>466757.41177447297</c:v>
                </c:pt>
                <c:pt idx="23">
                  <c:v>461264.97717316</c:v>
                </c:pt>
                <c:pt idx="24">
                  <c:v>455100.50159128505</c:v>
                </c:pt>
                <c:pt idx="25">
                  <c:v>448277.28876972402</c:v>
                </c:pt>
                <c:pt idx="26">
                  <c:v>440807.88259828999</c:v>
                </c:pt>
                <c:pt idx="27">
                  <c:v>432704.13678232499</c:v>
                </c:pt>
                <c:pt idx="28">
                  <c:v>423977.27588483901</c:v>
                </c:pt>
                <c:pt idx="29">
                  <c:v>414637.949069792</c:v>
                </c:pt>
                <c:pt idx="30">
                  <c:v>404696.27763137099</c:v>
                </c:pt>
                <c:pt idx="31">
                  <c:v>394161.89720336499</c:v>
                </c:pt>
                <c:pt idx="32">
                  <c:v>383043.99539039098</c:v>
                </c:pt>
                <c:pt idx="33">
                  <c:v>371351.34544013604</c:v>
                </c:pt>
                <c:pt idx="34">
                  <c:v>359092.33647643495</c:v>
                </c:pt>
                <c:pt idx="35">
                  <c:v>346275.00073195697</c:v>
                </c:pt>
                <c:pt idx="36">
                  <c:v>332907.03815274598</c:v>
                </c:pt>
                <c:pt idx="37">
                  <c:v>318995.83869192598</c:v>
                </c:pt>
                <c:pt idx="38">
                  <c:v>304548.50256431598</c:v>
                </c:pt>
                <c:pt idx="39">
                  <c:v>289571.85869559698</c:v>
                </c:pt>
                <c:pt idx="40">
                  <c:v>274072.48156780005</c:v>
                </c:pt>
                <c:pt idx="41">
                  <c:v>258056.70663599198</c:v>
                </c:pt>
                <c:pt idx="42">
                  <c:v>241530.64446825901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1-453E-A62E-4D8FC289A80B}"/>
            </c:ext>
          </c:extLst>
        </c:ser>
        <c:ser>
          <c:idx val="2"/>
          <c:order val="2"/>
          <c:tx>
            <c:v>PHEV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data'!$K$9:$K$51</c:f>
              <c:numCache>
                <c:formatCode>_-* #,##0_-;\-* #,##0_-;_-* "-"??_-;_-@_-</c:formatCode>
                <c:ptCount val="43"/>
                <c:pt idx="0">
                  <c:v>383333.871754669</c:v>
                </c:pt>
                <c:pt idx="1">
                  <c:v>419935.42350585398</c:v>
                </c:pt>
                <c:pt idx="2">
                  <c:v>458607.67385249498</c:v>
                </c:pt>
                <c:pt idx="3">
                  <c:v>499046.821664516</c:v>
                </c:pt>
                <c:pt idx="4">
                  <c:v>541048.70188352803</c:v>
                </c:pt>
                <c:pt idx="5">
                  <c:v>584465.92546238005</c:v>
                </c:pt>
                <c:pt idx="6">
                  <c:v>629185.96452789102</c:v>
                </c:pt>
                <c:pt idx="7">
                  <c:v>675119.35752328706</c:v>
                </c:pt>
                <c:pt idx="8">
                  <c:v>722192.803162592</c:v>
                </c:pt>
                <c:pt idx="9">
                  <c:v>770344.829459792</c:v>
                </c:pt>
                <c:pt idx="10">
                  <c:v>819522.92658843705</c:v>
                </c:pt>
                <c:pt idx="11">
                  <c:v>869681.56498744595</c:v>
                </c:pt>
                <c:pt idx="12">
                  <c:v>920780.77638713899</c:v>
                </c:pt>
                <c:pt idx="13">
                  <c:v>972785.107884706</c:v>
                </c:pt>
                <c:pt idx="14">
                  <c:v>1025662.83191215</c:v>
                </c:pt>
                <c:pt idx="15">
                  <c:v>1079385.33692961</c:v>
                </c:pt>
                <c:pt idx="16">
                  <c:v>1133926.6489875799</c:v>
                </c:pt>
                <c:pt idx="17">
                  <c:v>1189263.0501291601</c:v>
                </c:pt>
                <c:pt idx="18">
                  <c:v>1245372.76982118</c:v>
                </c:pt>
                <c:pt idx="19">
                  <c:v>1302235.73238439</c:v>
                </c:pt>
                <c:pt idx="20">
                  <c:v>1359833.3480055202</c:v>
                </c:pt>
                <c:pt idx="21">
                  <c:v>1418148.3381199501</c:v>
                </c:pt>
                <c:pt idx="22">
                  <c:v>1477164.58822553</c:v>
                </c:pt>
                <c:pt idx="23">
                  <c:v>1536867.0228268499</c:v>
                </c:pt>
                <c:pt idx="24">
                  <c:v>1597241.4984087199</c:v>
                </c:pt>
                <c:pt idx="25">
                  <c:v>1658274.7112302799</c:v>
                </c:pt>
                <c:pt idx="26">
                  <c:v>1719954.11740172</c:v>
                </c:pt>
                <c:pt idx="27">
                  <c:v>1782267.86321768</c:v>
                </c:pt>
                <c:pt idx="28">
                  <c:v>1845204.7241151698</c:v>
                </c:pt>
                <c:pt idx="29">
                  <c:v>1908754.0509302199</c:v>
                </c:pt>
                <c:pt idx="30">
                  <c:v>1972905.7223686399</c:v>
                </c:pt>
                <c:pt idx="31">
                  <c:v>2037650.10279664</c:v>
                </c:pt>
                <c:pt idx="32">
                  <c:v>2102978.0046096197</c:v>
                </c:pt>
                <c:pt idx="33">
                  <c:v>2168880.6545598698</c:v>
                </c:pt>
                <c:pt idx="34">
                  <c:v>2235349.6635235799</c:v>
                </c:pt>
                <c:pt idx="35">
                  <c:v>2302376.9992680498</c:v>
                </c:pt>
                <c:pt idx="36">
                  <c:v>2369954.9618472704</c:v>
                </c:pt>
                <c:pt idx="37">
                  <c:v>2438076.1613080897</c:v>
                </c:pt>
                <c:pt idx="38">
                  <c:v>2506733.4974357001</c:v>
                </c:pt>
                <c:pt idx="39">
                  <c:v>2575920.1413044203</c:v>
                </c:pt>
                <c:pt idx="40">
                  <c:v>2645629.5184322097</c:v>
                </c:pt>
                <c:pt idx="41">
                  <c:v>2715855.2933640201</c:v>
                </c:pt>
                <c:pt idx="42">
                  <c:v>2786591.35553176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1-453E-A62E-4D8FC289A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308208"/>
        <c:axId val="1394312784"/>
      </c:lineChart>
      <c:dateAx>
        <c:axId val="139430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12784"/>
        <c:crosses val="autoZero"/>
        <c:auto val="1"/>
        <c:lblOffset val="100"/>
        <c:baseTimeUnit val="months"/>
      </c:dateAx>
      <c:valAx>
        <c:axId val="13943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PHEV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BEV</a:t>
            </a:r>
            <a:r>
              <a:rPr lang="en-GB" baseline="0"/>
              <a:t> Manheim Market Share Forecast</a:t>
            </a:r>
          </a:p>
        </c:rich>
      </c:tx>
      <c:layout>
        <c:manualLayout>
          <c:xMode val="edge"/>
          <c:yMode val="edge"/>
          <c:x val="0.1936804461942257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data'!$F$9:$F$51</c:f>
              <c:numCache>
                <c:formatCode>_-* #,##0_-;\-* #,##0_-;_-* "-"??_-;_-@_-</c:formatCode>
                <c:ptCount val="43"/>
                <c:pt idx="0">
                  <c:v>3324.3442679580603</c:v>
                </c:pt>
                <c:pt idx="1">
                  <c:v>3799.2988821255376</c:v>
                </c:pt>
                <c:pt idx="2">
                  <c:v>4331.0539804668224</c:v>
                </c:pt>
                <c:pt idx="3">
                  <c:v>4854.4587979681191</c:v>
                </c:pt>
                <c:pt idx="4">
                  <c:v>5399.265153607731</c:v>
                </c:pt>
                <c:pt idx="5">
                  <c:v>5964.5643640613926</c:v>
                </c:pt>
                <c:pt idx="6">
                  <c:v>6563.8849491083956</c:v>
                </c:pt>
                <c:pt idx="7">
                  <c:v>7158.209830899872</c:v>
                </c:pt>
                <c:pt idx="8">
                  <c:v>7765.3593090176882</c:v>
                </c:pt>
                <c:pt idx="9">
                  <c:v>8384.7936624594095</c:v>
                </c:pt>
                <c:pt idx="10">
                  <c:v>9024.620081323601</c:v>
                </c:pt>
                <c:pt idx="11">
                  <c:v>9661.4522452619221</c:v>
                </c:pt>
                <c:pt idx="12">
                  <c:v>10305.971461735906</c:v>
                </c:pt>
                <c:pt idx="13">
                  <c:v>10957.85432047464</c:v>
                </c:pt>
                <c:pt idx="14">
                  <c:v>11621.960272736158</c:v>
                </c:pt>
                <c:pt idx="15">
                  <c:v>12284.271457879071</c:v>
                </c:pt>
                <c:pt idx="16">
                  <c:v>12951.190298508551</c:v>
                </c:pt>
                <c:pt idx="17">
                  <c:v>13622.522942989748</c:v>
                </c:pt>
                <c:pt idx="18">
                  <c:v>14301.18216945542</c:v>
                </c:pt>
                <c:pt idx="19">
                  <c:v>14978.765603789921</c:v>
                </c:pt>
                <c:pt idx="20">
                  <c:v>15659.110889388076</c:v>
                </c:pt>
                <c:pt idx="21">
                  <c:v>16342.101830671569</c:v>
                </c:pt>
                <c:pt idx="22">
                  <c:v>17029.484361121478</c:v>
                </c:pt>
                <c:pt idx="23">
                  <c:v>17716.222056493865</c:v>
                </c:pt>
                <c:pt idx="24">
                  <c:v>18404.615219057134</c:v>
                </c:pt>
                <c:pt idx="25">
                  <c:v>19094.594200612606</c:v>
                </c:pt>
                <c:pt idx="26">
                  <c:v>19787.20552225042</c:v>
                </c:pt>
                <c:pt idx="27">
                  <c:v>20479.43032658063</c:v>
                </c:pt>
                <c:pt idx="28">
                  <c:v>21172.647426063326</c:v>
                </c:pt>
                <c:pt idx="29">
                  <c:v>21866.815073226808</c:v>
                </c:pt>
                <c:pt idx="30">
                  <c:v>22562.560557944387</c:v>
                </c:pt>
                <c:pt idx="31">
                  <c:v>23258.074362292406</c:v>
                </c:pt>
                <c:pt idx="32">
                  <c:v>23954.182953221025</c:v>
                </c:pt>
                <c:pt idx="33">
                  <c:v>24650.86130709085</c:v>
                </c:pt>
                <c:pt idx="34">
                  <c:v>25348.485424528295</c:v>
                </c:pt>
                <c:pt idx="35">
                  <c:v>26045.970671616091</c:v>
                </c:pt>
                <c:pt idx="36">
                  <c:v>26743.812436697051</c:v>
                </c:pt>
                <c:pt idx="37">
                  <c:v>27441.995720479092</c:v>
                </c:pt>
                <c:pt idx="38">
                  <c:v>28140.745899581565</c:v>
                </c:pt>
                <c:pt idx="39">
                  <c:v>28839.412839115437</c:v>
                </c:pt>
                <c:pt idx="40">
                  <c:v>29538.293477282739</c:v>
                </c:pt>
                <c:pt idx="41">
                  <c:v>30237.378823434225</c:v>
                </c:pt>
                <c:pt idx="42">
                  <c:v>30936.803969420827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F-4256-9654-852A8BD163F9}"/>
            </c:ext>
          </c:extLst>
        </c:ser>
        <c:ser>
          <c:idx val="1"/>
          <c:order val="1"/>
          <c:tx>
            <c:v>BEV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data'!$G$9:$G$51</c:f>
              <c:numCache>
                <c:formatCode>_-* #,##0_-;\-* #,##0_-;_-* "-"??_-;_-@_-</c:formatCode>
                <c:ptCount val="43"/>
                <c:pt idx="0">
                  <c:v>3248.0670943099058</c:v>
                </c:pt>
                <c:pt idx="1">
                  <c:v>3653.9610838883486</c:v>
                </c:pt>
                <c:pt idx="2">
                  <c:v>4098.1018378986155</c:v>
                </c:pt>
                <c:pt idx="3">
                  <c:v>4522.6592884000811</c:v>
                </c:pt>
                <c:pt idx="4">
                  <c:v>4925.7898181656101</c:v>
                </c:pt>
                <c:pt idx="5">
                  <c:v>5330.7284308107519</c:v>
                </c:pt>
                <c:pt idx="6">
                  <c:v>5749.2340951187662</c:v>
                </c:pt>
                <c:pt idx="7">
                  <c:v>6146.6919138812591</c:v>
                </c:pt>
                <c:pt idx="8">
                  <c:v>6526.1970708216577</c:v>
                </c:pt>
                <c:pt idx="9">
                  <c:v>6898.1911529586578</c:v>
                </c:pt>
                <c:pt idx="10">
                  <c:v>7270.6696553586553</c:v>
                </c:pt>
                <c:pt idx="11">
                  <c:v>7622.9747067116832</c:v>
                </c:pt>
                <c:pt idx="12">
                  <c:v>7958.6854607266851</c:v>
                </c:pt>
                <c:pt idx="13">
                  <c:v>8283.1319110212517</c:v>
                </c:pt>
                <c:pt idx="14">
                  <c:v>8601.4486347103521</c:v>
                </c:pt>
                <c:pt idx="15">
                  <c:v>8901.3315306509958</c:v>
                </c:pt>
                <c:pt idx="16">
                  <c:v>9185.6936045993243</c:v>
                </c:pt>
                <c:pt idx="17">
                  <c:v>9457.4607086681735</c:v>
                </c:pt>
                <c:pt idx="18">
                  <c:v>9719.9007480318887</c:v>
                </c:pt>
                <c:pt idx="19">
                  <c:v>9965.7211696638442</c:v>
                </c:pt>
                <c:pt idx="20">
                  <c:v>10197.054691113417</c:v>
                </c:pt>
                <c:pt idx="21">
                  <c:v>10415.598050475784</c:v>
                </c:pt>
                <c:pt idx="22">
                  <c:v>10623.438969810033</c:v>
                </c:pt>
                <c:pt idx="23">
                  <c:v>10816.285614302678</c:v>
                </c:pt>
                <c:pt idx="24">
                  <c:v>10995.6347094303</c:v>
                </c:pt>
                <c:pt idx="25">
                  <c:v>11162.519683168233</c:v>
                </c:pt>
                <c:pt idx="26">
                  <c:v>11318.288529419886</c:v>
                </c:pt>
                <c:pt idx="27">
                  <c:v>11460.440655929957</c:v>
                </c:pt>
                <c:pt idx="28">
                  <c:v>11590.010256030555</c:v>
                </c:pt>
                <c:pt idx="29">
                  <c:v>11707.657570293763</c:v>
                </c:pt>
                <c:pt idx="30">
                  <c:v>11814.26718368999</c:v>
                </c:pt>
                <c:pt idx="31">
                  <c:v>11908.403757507471</c:v>
                </c:pt>
                <c:pt idx="32">
                  <c:v>11990.781586857316</c:v>
                </c:pt>
                <c:pt idx="33">
                  <c:v>12061.843181445656</c:v>
                </c:pt>
                <c:pt idx="34">
                  <c:v>12122.1816733662</c:v>
                </c:pt>
                <c:pt idx="35">
                  <c:v>12170.992262392037</c:v>
                </c:pt>
                <c:pt idx="36">
                  <c:v>12208.773275251708</c:v>
                </c:pt>
                <c:pt idx="37">
                  <c:v>12235.835719913586</c:v>
                </c:pt>
                <c:pt idx="38">
                  <c:v>12252.588062240142</c:v>
                </c:pt>
                <c:pt idx="39">
                  <c:v>12258.596428793682</c:v>
                </c:pt>
                <c:pt idx="40">
                  <c:v>12254.214841095445</c:v>
                </c:pt>
                <c:pt idx="41">
                  <c:v>12239.672084335498</c:v>
                </c:pt>
                <c:pt idx="42">
                  <c:v>12215.258358194049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F-4256-9654-852A8BD163F9}"/>
            </c:ext>
          </c:extLst>
        </c:ser>
        <c:ser>
          <c:idx val="2"/>
          <c:order val="2"/>
          <c:tx>
            <c:v>BEV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data'!$H$9:$H$51</c:f>
              <c:numCache>
                <c:formatCode>_-* #,##0_-;\-* #,##0_-;_-* "-"??_-;_-@_-</c:formatCode>
                <c:ptCount val="43"/>
                <c:pt idx="0">
                  <c:v>3400.6214416062217</c:v>
                </c:pt>
                <c:pt idx="1">
                  <c:v>3944.6366803627329</c:v>
                </c:pt>
                <c:pt idx="2">
                  <c:v>4564.0061230350202</c:v>
                </c:pt>
                <c:pt idx="3">
                  <c:v>5186.2583075361563</c:v>
                </c:pt>
                <c:pt idx="4">
                  <c:v>5872.7404890498437</c:v>
                </c:pt>
                <c:pt idx="5">
                  <c:v>6598.400297312045</c:v>
                </c:pt>
                <c:pt idx="6">
                  <c:v>7378.5358030980578</c:v>
                </c:pt>
                <c:pt idx="7">
                  <c:v>8169.7277479184695</c:v>
                </c:pt>
                <c:pt idx="8">
                  <c:v>9004.5215472137388</c:v>
                </c:pt>
                <c:pt idx="9">
                  <c:v>9871.3961719601593</c:v>
                </c:pt>
                <c:pt idx="10">
                  <c:v>10778.570507288481</c:v>
                </c:pt>
                <c:pt idx="11">
                  <c:v>11699.929783812226</c:v>
                </c:pt>
                <c:pt idx="12">
                  <c:v>12653.257462745194</c:v>
                </c:pt>
                <c:pt idx="13">
                  <c:v>13632.576729928029</c:v>
                </c:pt>
                <c:pt idx="14">
                  <c:v>14642.471910761966</c:v>
                </c:pt>
                <c:pt idx="15">
                  <c:v>15667.21138510721</c:v>
                </c:pt>
                <c:pt idx="16">
                  <c:v>16716.686992417843</c:v>
                </c:pt>
                <c:pt idx="17">
                  <c:v>17787.585177311255</c:v>
                </c:pt>
                <c:pt idx="18">
                  <c:v>18882.463590879015</c:v>
                </c:pt>
                <c:pt idx="19">
                  <c:v>19991.810037915933</c:v>
                </c:pt>
                <c:pt idx="20">
                  <c:v>21121.167087662667</c:v>
                </c:pt>
                <c:pt idx="21">
                  <c:v>22268.605610867351</c:v>
                </c:pt>
                <c:pt idx="22">
                  <c:v>23435.529752432863</c:v>
                </c:pt>
                <c:pt idx="23">
                  <c:v>24616.158498685112</c:v>
                </c:pt>
                <c:pt idx="24">
                  <c:v>25813.595728684035</c:v>
                </c:pt>
                <c:pt idx="25">
                  <c:v>27026.668718056982</c:v>
                </c:pt>
                <c:pt idx="26">
                  <c:v>28256.122515081028</c:v>
                </c:pt>
                <c:pt idx="27">
                  <c:v>29498.419997231307</c:v>
                </c:pt>
                <c:pt idx="28">
                  <c:v>30755.28459609616</c:v>
                </c:pt>
                <c:pt idx="29">
                  <c:v>32025.972576159784</c:v>
                </c:pt>
                <c:pt idx="30">
                  <c:v>33310.853932198857</c:v>
                </c:pt>
                <c:pt idx="31">
                  <c:v>34607.744967077335</c:v>
                </c:pt>
                <c:pt idx="32">
                  <c:v>35917.584319584676</c:v>
                </c:pt>
                <c:pt idx="33">
                  <c:v>37239.879432736052</c:v>
                </c:pt>
                <c:pt idx="34">
                  <c:v>38574.789175690392</c:v>
                </c:pt>
                <c:pt idx="35">
                  <c:v>39920.949080840146</c:v>
                </c:pt>
                <c:pt idx="36">
                  <c:v>41278.851598142326</c:v>
                </c:pt>
                <c:pt idx="37">
                  <c:v>42648.155721044604</c:v>
                </c:pt>
                <c:pt idx="38">
                  <c:v>44028.903736922977</c:v>
                </c:pt>
                <c:pt idx="39">
                  <c:v>45420.229249437114</c:v>
                </c:pt>
                <c:pt idx="40">
                  <c:v>46822.372113469966</c:v>
                </c:pt>
                <c:pt idx="41">
                  <c:v>48235.085562532964</c:v>
                </c:pt>
                <c:pt idx="42">
                  <c:v>49658.349580647686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F-4256-9654-852A8BD1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985840"/>
        <c:axId val="1607985008"/>
      </c:lineChart>
      <c:dateAx>
        <c:axId val="160798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85008"/>
        <c:crosses val="autoZero"/>
        <c:auto val="1"/>
        <c:lblOffset val="100"/>
        <c:baseTimeUnit val="months"/>
      </c:dateAx>
      <c:valAx>
        <c:axId val="16079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BEV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8584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PHEV</a:t>
            </a:r>
            <a:r>
              <a:rPr lang="en-GB" baseline="0"/>
              <a:t> Manheim Market Share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PHEV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 forecast data'!$A$9:$A$51</c:f>
              <c:numCache>
                <c:formatCode>m/d/yyyy</c:formatCode>
                <c:ptCount val="43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  <c:pt idx="12">
                  <c:v>45748</c:v>
                </c:pt>
                <c:pt idx="13">
                  <c:v>45839</c:v>
                </c:pt>
                <c:pt idx="14">
                  <c:v>45931</c:v>
                </c:pt>
                <c:pt idx="15">
                  <c:v>46023</c:v>
                </c:pt>
                <c:pt idx="16">
                  <c:v>46113</c:v>
                </c:pt>
                <c:pt idx="17">
                  <c:v>46204</c:v>
                </c:pt>
                <c:pt idx="18">
                  <c:v>46296</c:v>
                </c:pt>
                <c:pt idx="19">
                  <c:v>46388</c:v>
                </c:pt>
                <c:pt idx="20">
                  <c:v>46478</c:v>
                </c:pt>
                <c:pt idx="21">
                  <c:v>46569</c:v>
                </c:pt>
                <c:pt idx="22">
                  <c:v>46661</c:v>
                </c:pt>
                <c:pt idx="23">
                  <c:v>46753</c:v>
                </c:pt>
                <c:pt idx="24">
                  <c:v>46844</c:v>
                </c:pt>
                <c:pt idx="25">
                  <c:v>46935</c:v>
                </c:pt>
                <c:pt idx="26">
                  <c:v>47027</c:v>
                </c:pt>
                <c:pt idx="27">
                  <c:v>47119</c:v>
                </c:pt>
                <c:pt idx="28">
                  <c:v>47209</c:v>
                </c:pt>
                <c:pt idx="29">
                  <c:v>47300</c:v>
                </c:pt>
                <c:pt idx="30">
                  <c:v>47392</c:v>
                </c:pt>
                <c:pt idx="31">
                  <c:v>47484</c:v>
                </c:pt>
                <c:pt idx="32">
                  <c:v>47574</c:v>
                </c:pt>
                <c:pt idx="33">
                  <c:v>47665</c:v>
                </c:pt>
                <c:pt idx="34">
                  <c:v>47757</c:v>
                </c:pt>
                <c:pt idx="35">
                  <c:v>47849</c:v>
                </c:pt>
                <c:pt idx="36">
                  <c:v>47939</c:v>
                </c:pt>
                <c:pt idx="37">
                  <c:v>48030</c:v>
                </c:pt>
                <c:pt idx="38">
                  <c:v>48122</c:v>
                </c:pt>
                <c:pt idx="39">
                  <c:v>48214</c:v>
                </c:pt>
                <c:pt idx="40">
                  <c:v>48305</c:v>
                </c:pt>
                <c:pt idx="41">
                  <c:v>48396</c:v>
                </c:pt>
                <c:pt idx="42">
                  <c:v>48488</c:v>
                </c:pt>
              </c:numCache>
            </c:numRef>
          </c:cat>
          <c:val>
            <c:numRef>
              <c:f>'EV forecast data'!$L$9:$L$51</c:f>
              <c:numCache>
                <c:formatCode>_-* #,##0_-;\-* #,##0_-;_-* "-"??_-;_-@_-</c:formatCode>
                <c:ptCount val="43"/>
                <c:pt idx="0">
                  <c:v>2455.2549359999998</c:v>
                </c:pt>
                <c:pt idx="1">
                  <c:v>2632.4132159999995</c:v>
                </c:pt>
                <c:pt idx="2">
                  <c:v>2809.571496</c:v>
                </c:pt>
                <c:pt idx="3">
                  <c:v>2986.7297759999997</c:v>
                </c:pt>
                <c:pt idx="4">
                  <c:v>3163.8880559999998</c:v>
                </c:pt>
                <c:pt idx="5">
                  <c:v>3341.0463359999999</c:v>
                </c:pt>
                <c:pt idx="6">
                  <c:v>3518.2046160000054</c:v>
                </c:pt>
                <c:pt idx="7">
                  <c:v>3695.3628960000065</c:v>
                </c:pt>
                <c:pt idx="8">
                  <c:v>3872.5211760000066</c:v>
                </c:pt>
                <c:pt idx="9">
                  <c:v>4049.6794560000067</c:v>
                </c:pt>
                <c:pt idx="10">
                  <c:v>4226.8377360000068</c:v>
                </c:pt>
                <c:pt idx="11">
                  <c:v>4403.9960160000055</c:v>
                </c:pt>
                <c:pt idx="12">
                  <c:v>4581.1542960000052</c:v>
                </c:pt>
                <c:pt idx="13">
                  <c:v>4758.3125760000057</c:v>
                </c:pt>
                <c:pt idx="14">
                  <c:v>4935.4708560000126</c:v>
                </c:pt>
                <c:pt idx="15">
                  <c:v>5112.6291360000132</c:v>
                </c:pt>
                <c:pt idx="16">
                  <c:v>5289.7874160000119</c:v>
                </c:pt>
                <c:pt idx="17">
                  <c:v>5466.9456960000125</c:v>
                </c:pt>
                <c:pt idx="18">
                  <c:v>5644.1039760000131</c:v>
                </c:pt>
                <c:pt idx="19">
                  <c:v>5821.2622560000127</c:v>
                </c:pt>
                <c:pt idx="20">
                  <c:v>5998.4205360000124</c:v>
                </c:pt>
                <c:pt idx="21">
                  <c:v>6175.5788160000138</c:v>
                </c:pt>
                <c:pt idx="22">
                  <c:v>6352.7370960000189</c:v>
                </c:pt>
                <c:pt idx="23">
                  <c:v>6529.8953760000186</c:v>
                </c:pt>
                <c:pt idx="24">
                  <c:v>6707.0536559999991</c:v>
                </c:pt>
                <c:pt idx="25">
                  <c:v>6884.2119359999997</c:v>
                </c:pt>
                <c:pt idx="26">
                  <c:v>7061.3702159999993</c:v>
                </c:pt>
                <c:pt idx="27">
                  <c:v>7238.5284959999999</c:v>
                </c:pt>
                <c:pt idx="28">
                  <c:v>7415.6867759999996</c:v>
                </c:pt>
                <c:pt idx="29">
                  <c:v>7592.8450559999992</c:v>
                </c:pt>
                <c:pt idx="30">
                  <c:v>7770.0033359999989</c:v>
                </c:pt>
                <c:pt idx="31">
                  <c:v>7947.1616160000003</c:v>
                </c:pt>
                <c:pt idx="32">
                  <c:v>8124.319896</c:v>
                </c:pt>
                <c:pt idx="33">
                  <c:v>8301.4781760000642</c:v>
                </c:pt>
                <c:pt idx="34">
                  <c:v>8478.6364560000638</c:v>
                </c:pt>
                <c:pt idx="35">
                  <c:v>8655.7947360000653</c:v>
                </c:pt>
                <c:pt idx="36">
                  <c:v>8832.953016000065</c:v>
                </c:pt>
                <c:pt idx="37">
                  <c:v>9010.1112960000646</c:v>
                </c:pt>
                <c:pt idx="38">
                  <c:v>9187.2695760000643</c:v>
                </c:pt>
                <c:pt idx="39">
                  <c:v>9364.4278560000639</c:v>
                </c:pt>
                <c:pt idx="40">
                  <c:v>9541.5861360000636</c:v>
                </c:pt>
                <c:pt idx="41">
                  <c:v>9718.744416000065</c:v>
                </c:pt>
                <c:pt idx="42">
                  <c:v>9895.9026960000647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F-40A0-84ED-E429BEACDDEF}"/>
            </c:ext>
          </c:extLst>
        </c:ser>
        <c:ser>
          <c:idx val="1"/>
          <c:order val="1"/>
          <c:tx>
            <c:v>PHEV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data'!$M$9:$M$51</c:f>
              <c:numCache>
                <c:formatCode>_-* #,##0_-;\-* #,##0_-;_-* "-"??_-;_-@_-</c:formatCode>
                <c:ptCount val="43"/>
                <c:pt idx="0">
                  <c:v>2405.0396862114831</c:v>
                </c:pt>
                <c:pt idx="1">
                  <c:v>2520.1285039657446</c:v>
                </c:pt>
                <c:pt idx="2">
                  <c:v>2621.6832357000922</c:v>
                </c:pt>
                <c:pt idx="3">
                  <c:v>2711.6895256007228</c:v>
                </c:pt>
                <c:pt idx="4">
                  <c:v>2791.4817964892677</c:v>
                </c:pt>
                <c:pt idx="5">
                  <c:v>2862.023383177891</c:v>
                </c:pt>
                <c:pt idx="6">
                  <c:v>2924.0497678457109</c:v>
                </c:pt>
                <c:pt idx="7">
                  <c:v>2978.1456712278027</c:v>
                </c:pt>
                <c:pt idx="8">
                  <c:v>3024.7901905293052</c:v>
                </c:pt>
                <c:pt idx="9">
                  <c:v>3064.3851066508128</c:v>
                </c:pt>
                <c:pt idx="10">
                  <c:v>3097.2736238179887</c:v>
                </c:pt>
                <c:pt idx="11">
                  <c:v>3123.753323242066</c:v>
                </c:pt>
                <c:pt idx="12">
                  <c:v>3144.0854375336721</c:v>
                </c:pt>
                <c:pt idx="13">
                  <c:v>3158.5016868655807</c:v>
                </c:pt>
                <c:pt idx="14">
                  <c:v>3167.2094426222197</c:v>
                </c:pt>
                <c:pt idx="15">
                  <c:v>3170.3957098280821</c:v>
                </c:pt>
                <c:pt idx="16">
                  <c:v>3168.2302542171897</c:v>
                </c:pt>
                <c:pt idx="17">
                  <c:v>3160.8680963558231</c:v>
                </c:pt>
                <c:pt idx="18">
                  <c:v>3148.4515284487929</c:v>
                </c:pt>
                <c:pt idx="19">
                  <c:v>3131.1117651356658</c:v>
                </c:pt>
                <c:pt idx="20">
                  <c:v>3108.9703094359343</c:v>
                </c:pt>
                <c:pt idx="21">
                  <c:v>3082.1400940480717</c:v>
                </c:pt>
                <c:pt idx="22">
                  <c:v>3050.7264433579553</c:v>
                </c:pt>
                <c:pt idx="23">
                  <c:v>3014.8278908037737</c:v>
                </c:pt>
                <c:pt idx="24">
                  <c:v>2974.5368784006387</c:v>
                </c:pt>
                <c:pt idx="25">
                  <c:v>2929.9403593989159</c:v>
                </c:pt>
                <c:pt idx="26">
                  <c:v>2881.1203206624232</c:v>
                </c:pt>
                <c:pt idx="27">
                  <c:v>2828.154238009276</c:v>
                </c:pt>
                <c:pt idx="28">
                  <c:v>2771.1154751833074</c:v>
                </c:pt>
                <c:pt idx="29">
                  <c:v>2710.0736351201604</c:v>
                </c:pt>
                <c:pt idx="30">
                  <c:v>2645.0948705986402</c:v>
                </c:pt>
                <c:pt idx="31">
                  <c:v>2576.2421601211936</c:v>
                </c:pt>
                <c:pt idx="32">
                  <c:v>2503.5755538715953</c:v>
                </c:pt>
                <c:pt idx="33">
                  <c:v>2427.152393796729</c:v>
                </c:pt>
                <c:pt idx="34">
                  <c:v>2347.0275112099789</c:v>
                </c:pt>
                <c:pt idx="35">
                  <c:v>2263.2534047840709</c:v>
                </c:pt>
                <c:pt idx="36">
                  <c:v>2175.8804013663475</c:v>
                </c:pt>
                <c:pt idx="37">
                  <c:v>2084.9568016904282</c:v>
                </c:pt>
                <c:pt idx="38">
                  <c:v>1990.5290127603691</c:v>
                </c:pt>
                <c:pt idx="39">
                  <c:v>1892.6416684344219</c:v>
                </c:pt>
                <c:pt idx="40">
                  <c:v>1791.3377395271411</c:v>
                </c:pt>
                <c:pt idx="41">
                  <c:v>1686.6586345728435</c:v>
                </c:pt>
                <c:pt idx="42">
                  <c:v>1578.6442922445408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FF-40A0-84ED-E429BEACDDEF}"/>
            </c:ext>
          </c:extLst>
        </c:ser>
        <c:ser>
          <c:idx val="2"/>
          <c:order val="2"/>
          <c:tx>
            <c:v>PHEV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'EV forecast data'!$N$9:$N$51</c:f>
              <c:numCache>
                <c:formatCode>_-* #,##0_-;\-* #,##0_-;_-* "-"??_-;_-@_-</c:formatCode>
                <c:ptCount val="43"/>
                <c:pt idx="0">
                  <c:v>2505.4701857885166</c:v>
                </c:pt>
                <c:pt idx="1">
                  <c:v>2744.6979280342616</c:v>
                </c:pt>
                <c:pt idx="2">
                  <c:v>2997.459756299907</c:v>
                </c:pt>
                <c:pt idx="3">
                  <c:v>3261.770026399276</c:v>
                </c:pt>
                <c:pt idx="4">
                  <c:v>3536.2943155107391</c:v>
                </c:pt>
                <c:pt idx="5">
                  <c:v>3820.0692888221156</c:v>
                </c:pt>
                <c:pt idx="6">
                  <c:v>4112.359464154295</c:v>
                </c:pt>
                <c:pt idx="7">
                  <c:v>4412.5801207722043</c:v>
                </c:pt>
                <c:pt idx="8">
                  <c:v>4720.2521614707011</c:v>
                </c:pt>
                <c:pt idx="9">
                  <c:v>5034.9738053492001</c:v>
                </c:pt>
                <c:pt idx="10">
                  <c:v>5356.401848182024</c:v>
                </c:pt>
                <c:pt idx="11">
                  <c:v>5684.2387087579464</c:v>
                </c:pt>
                <c:pt idx="12">
                  <c:v>6018.22315446634</c:v>
                </c:pt>
                <c:pt idx="13">
                  <c:v>6358.1234651344375</c:v>
                </c:pt>
                <c:pt idx="14">
                  <c:v>6703.7322693778124</c:v>
                </c:pt>
                <c:pt idx="15">
                  <c:v>7054.8625621719311</c:v>
                </c:pt>
                <c:pt idx="16">
                  <c:v>7411.344577782821</c:v>
                </c:pt>
                <c:pt idx="17">
                  <c:v>7773.0232956441896</c:v>
                </c:pt>
                <c:pt idx="18">
                  <c:v>8139.7564235512318</c:v>
                </c:pt>
                <c:pt idx="19">
                  <c:v>8511.4127468643728</c:v>
                </c:pt>
                <c:pt idx="20">
                  <c:v>8887.8707625640782</c:v>
                </c:pt>
                <c:pt idx="21">
                  <c:v>9269.0175379519933</c:v>
                </c:pt>
                <c:pt idx="22">
                  <c:v>9654.747748642063</c:v>
                </c:pt>
                <c:pt idx="23">
                  <c:v>10044.962861196291</c:v>
                </c:pt>
                <c:pt idx="24">
                  <c:v>10439.570433599392</c:v>
                </c:pt>
                <c:pt idx="25">
                  <c:v>10838.483512601109</c:v>
                </c:pt>
                <c:pt idx="26">
                  <c:v>11241.620111337641</c:v>
                </c:pt>
                <c:pt idx="27">
                  <c:v>11648.902753990757</c:v>
                </c:pt>
                <c:pt idx="28">
                  <c:v>12060.258076816748</c:v>
                </c:pt>
                <c:pt idx="29">
                  <c:v>12475.616476879915</c:v>
                </c:pt>
                <c:pt idx="30">
                  <c:v>12894.911801401431</c:v>
                </c:pt>
                <c:pt idx="31">
                  <c:v>13318.08107187884</c:v>
                </c:pt>
                <c:pt idx="32">
                  <c:v>13745.064238128474</c:v>
                </c:pt>
                <c:pt idx="33">
                  <c:v>14175.803958203309</c:v>
                </c:pt>
                <c:pt idx="34">
                  <c:v>14610.245400790118</c:v>
                </c:pt>
                <c:pt idx="35">
                  <c:v>15048.336067215972</c:v>
                </c:pt>
                <c:pt idx="36">
                  <c:v>15490.02563063376</c:v>
                </c:pt>
                <c:pt idx="37">
                  <c:v>15935.265790309673</c:v>
                </c:pt>
                <c:pt idx="38">
                  <c:v>16384.010139239734</c:v>
                </c:pt>
                <c:pt idx="39">
                  <c:v>16836.214043565691</c:v>
                </c:pt>
                <c:pt idx="40">
                  <c:v>17291.834532472923</c:v>
                </c:pt>
                <c:pt idx="41">
                  <c:v>17750.830197427233</c:v>
                </c:pt>
                <c:pt idx="42">
                  <c:v>18213.161099755584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FF-40A0-84ED-E429BEAC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158448"/>
        <c:axId val="1402159280"/>
      </c:lineChart>
      <c:dateAx>
        <c:axId val="140215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159280"/>
        <c:crosses val="autoZero"/>
        <c:auto val="1"/>
        <c:lblOffset val="100"/>
        <c:baseTimeUnit val="months"/>
      </c:dateAx>
      <c:valAx>
        <c:axId val="14021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PHEV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15844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Historic trend vs Strategic</a:t>
            </a:r>
            <a:r>
              <a:rPr lang="en-GB" baseline="0"/>
              <a:t>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EV historic trend forecast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summary'!$N$40:$N$50</c:f>
              <c:numCache>
                <c:formatCode>_-* #,##0_-;\-* #,##0_-;_-* "-"??_-;_-@_-</c:formatCode>
                <c:ptCount val="11"/>
                <c:pt idx="0">
                  <c:v>1092506.957843761</c:v>
                </c:pt>
                <c:pt idx="1">
                  <c:v>1542547.3630826809</c:v>
                </c:pt>
                <c:pt idx="2">
                  <c:v>2027456.8263959009</c:v>
                </c:pt>
                <c:pt idx="3">
                  <c:v>2533266.6965630618</c:v>
                </c:pt>
                <c:pt idx="4">
                  <c:v>3051604.367419742</c:v>
                </c:pt>
                <c:pt idx="5">
                  <c:v>3577451.2633294826</c:v>
                </c:pt>
                <c:pt idx="6">
                  <c:v>4107799.2255585101</c:v>
                </c:pt>
                <c:pt idx="7">
                  <c:v>4640845.1490122993</c:v>
                </c:pt>
                <c:pt idx="8">
                  <c:v>5175508.24365489</c:v>
                </c:pt>
                <c:pt idx="9">
                  <c:v>5711140.6786385607</c:v>
                </c:pt>
                <c:pt idx="10">
                  <c:v>6247354.1409762697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5-43F3-9CF4-56AC7703B09D}"/>
            </c:ext>
          </c:extLst>
        </c:ser>
        <c:ser>
          <c:idx val="1"/>
          <c:order val="1"/>
          <c:tx>
            <c:v>EV historic trend forecast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 - summary'!$O$40:$O$50</c:f>
              <c:numCache>
                <c:formatCode>_-* #,##0_-;\-* #,##0_-;_-* "-"??_-;_-@_-</c:formatCode>
                <c:ptCount val="11"/>
                <c:pt idx="0">
                  <c:v>1028118.8913094719</c:v>
                </c:pt>
                <c:pt idx="1">
                  <c:v>1327001.815019045</c:v>
                </c:pt>
                <c:pt idx="2">
                  <c:v>1586282.6314529751</c:v>
                </c:pt>
                <c:pt idx="3">
                  <c:v>1800590.2811096348</c:v>
                </c:pt>
                <c:pt idx="4">
                  <c:v>1968842.1475643639</c:v>
                </c:pt>
                <c:pt idx="5">
                  <c:v>2092130.5711701331</c:v>
                </c:pt>
                <c:pt idx="6">
                  <c:v>2172492.1741252001</c:v>
                </c:pt>
                <c:pt idx="7">
                  <c:v>2212264.696188591</c:v>
                </c:pt>
                <c:pt idx="8">
                  <c:v>2213771.2950697951</c:v>
                </c:pt>
                <c:pt idx="9">
                  <c:v>2179179.4790392462</c:v>
                </c:pt>
                <c:pt idx="10">
                  <c:v>2110450.2219153289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5-43F3-9CF4-56AC7703B09D}"/>
            </c:ext>
          </c:extLst>
        </c:ser>
        <c:ser>
          <c:idx val="2"/>
          <c:order val="2"/>
          <c:tx>
            <c:v>EV historic trend forecast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'Forecast - summary'!$P$40:$P$50</c:f>
              <c:numCache>
                <c:formatCode>_-* #,##0_-;\-* #,##0_-;_-* "-"??_-;_-@_-</c:formatCode>
                <c:ptCount val="11"/>
                <c:pt idx="0">
                  <c:v>1156895.024378049</c:v>
                </c:pt>
                <c:pt idx="1">
                  <c:v>1758092.9111463211</c:v>
                </c:pt>
                <c:pt idx="2">
                  <c:v>2468631.0213388167</c:v>
                </c:pt>
                <c:pt idx="3">
                  <c:v>3265943.1120164902</c:v>
                </c:pt>
                <c:pt idx="4">
                  <c:v>4134366.5872751302</c:v>
                </c:pt>
                <c:pt idx="5">
                  <c:v>5062771.9554888196</c:v>
                </c:pt>
                <c:pt idx="6">
                  <c:v>6043106.2769918405</c:v>
                </c:pt>
                <c:pt idx="7">
                  <c:v>7069425.6018360294</c:v>
                </c:pt>
                <c:pt idx="8">
                  <c:v>8137245.1922399802</c:v>
                </c:pt>
                <c:pt idx="9">
                  <c:v>9243101.8782378696</c:v>
                </c:pt>
                <c:pt idx="10">
                  <c:v>10384258.06003722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B5-43F3-9CF4-56AC7703B09D}"/>
            </c:ext>
          </c:extLst>
        </c:ser>
        <c:ser>
          <c:idx val="3"/>
          <c:order val="3"/>
          <c:tx>
            <c:v>EV strategic forecast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'Forecast - summary'!$Q$40:$Q$50</c:f>
              <c:numCache>
                <c:formatCode>_-* #,##0_-;\-* #,##0_-;_-* "-"??_-;_-@_-</c:formatCode>
                <c:ptCount val="11"/>
                <c:pt idx="0">
                  <c:v>1156844.4928311692</c:v>
                </c:pt>
                <c:pt idx="1">
                  <c:v>1741038.306481462</c:v>
                </c:pt>
                <c:pt idx="2">
                  <c:v>2369397.7787712449</c:v>
                </c:pt>
                <c:pt idx="3">
                  <c:v>3130907.481351851</c:v>
                </c:pt>
                <c:pt idx="4">
                  <c:v>3997348.1903430102</c:v>
                </c:pt>
                <c:pt idx="5">
                  <c:v>5021482.2586420979</c:v>
                </c:pt>
                <c:pt idx="6">
                  <c:v>6200101.094052908</c:v>
                </c:pt>
                <c:pt idx="7">
                  <c:v>7603009.4363434725</c:v>
                </c:pt>
                <c:pt idx="8">
                  <c:v>9202226.963641163</c:v>
                </c:pt>
                <c:pt idx="9">
                  <c:v>10867831.531842055</c:v>
                </c:pt>
                <c:pt idx="10">
                  <c:v>12475911.497997014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B5-43F3-9CF4-56AC7703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986176"/>
        <c:axId val="330680336"/>
      </c:lineChart>
      <c:catAx>
        <c:axId val="128898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0336"/>
        <c:crosses val="autoZero"/>
        <c:auto val="1"/>
        <c:lblAlgn val="ctr"/>
        <c:lblOffset val="100"/>
        <c:noMultiLvlLbl val="0"/>
      </c:catAx>
      <c:valAx>
        <c:axId val="3306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EV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8617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04571513842396"/>
          <c:y val="0.31401475091701697"/>
          <c:w val="0.28226923039275126"/>
          <c:h val="0.39864867195525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BEV (Manheim Market Share)</a:t>
            </a:r>
            <a:r>
              <a:rPr lang="en-GB" baseline="0"/>
              <a:t>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summary'!$E$40:$E$50</c:f>
              <c:numCache>
                <c:formatCode>_-* #,##0_-;\-* #,##0_-;_-* "-"??_-;_-@_-</c:formatCode>
                <c:ptCount val="11"/>
                <c:pt idx="0">
                  <c:v>4331.0539804668224</c:v>
                </c:pt>
                <c:pt idx="1">
                  <c:v>6563.8849491083956</c:v>
                </c:pt>
                <c:pt idx="2">
                  <c:v>9024.620081323601</c:v>
                </c:pt>
                <c:pt idx="3">
                  <c:v>11621.960272736158</c:v>
                </c:pt>
                <c:pt idx="4">
                  <c:v>14301.18216945542</c:v>
                </c:pt>
                <c:pt idx="5">
                  <c:v>17029.484361121478</c:v>
                </c:pt>
                <c:pt idx="6">
                  <c:v>19787.20552225042</c:v>
                </c:pt>
                <c:pt idx="7">
                  <c:v>22562.560557944387</c:v>
                </c:pt>
                <c:pt idx="8">
                  <c:v>25348.485424528295</c:v>
                </c:pt>
                <c:pt idx="9">
                  <c:v>28140.745899581565</c:v>
                </c:pt>
                <c:pt idx="10">
                  <c:v>30936.803969420827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5-4777-9405-97A930FA0521}"/>
            </c:ext>
          </c:extLst>
        </c:ser>
        <c:ser>
          <c:idx val="1"/>
          <c:order val="1"/>
          <c:tx>
            <c:v>BEV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summary'!$F$40:$F$50</c:f>
              <c:numCache>
                <c:formatCode>_-* #,##0_-;\-* #,##0_-;_-* "-"??_-;_-@_-</c:formatCode>
                <c:ptCount val="11"/>
                <c:pt idx="0">
                  <c:v>4098.1018378986155</c:v>
                </c:pt>
                <c:pt idx="1">
                  <c:v>5749.2340951187662</c:v>
                </c:pt>
                <c:pt idx="2">
                  <c:v>7270.6696553586553</c:v>
                </c:pt>
                <c:pt idx="3">
                  <c:v>8601.4486347103521</c:v>
                </c:pt>
                <c:pt idx="4">
                  <c:v>9719.9007480318887</c:v>
                </c:pt>
                <c:pt idx="5">
                  <c:v>10623.438969810033</c:v>
                </c:pt>
                <c:pt idx="6">
                  <c:v>11318.288529419886</c:v>
                </c:pt>
                <c:pt idx="7">
                  <c:v>11814.26718368999</c:v>
                </c:pt>
                <c:pt idx="8">
                  <c:v>12122.1816733662</c:v>
                </c:pt>
                <c:pt idx="9">
                  <c:v>12252.588062240142</c:v>
                </c:pt>
                <c:pt idx="10">
                  <c:v>12215.258358194049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E5-4777-9405-97A930FA0521}"/>
            </c:ext>
          </c:extLst>
        </c:ser>
        <c:ser>
          <c:idx val="2"/>
          <c:order val="2"/>
          <c:tx>
            <c:v>BEV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summary'!$G$40:$G$50</c:f>
              <c:numCache>
                <c:formatCode>_-* #,##0_-;\-* #,##0_-;_-* "-"??_-;_-@_-</c:formatCode>
                <c:ptCount val="11"/>
                <c:pt idx="0">
                  <c:v>4564.0061230350202</c:v>
                </c:pt>
                <c:pt idx="1">
                  <c:v>7378.5358030980578</c:v>
                </c:pt>
                <c:pt idx="2">
                  <c:v>10778.570507288481</c:v>
                </c:pt>
                <c:pt idx="3">
                  <c:v>14642.471910761966</c:v>
                </c:pt>
                <c:pt idx="4">
                  <c:v>18882.463590879015</c:v>
                </c:pt>
                <c:pt idx="5">
                  <c:v>23435.529752432863</c:v>
                </c:pt>
                <c:pt idx="6">
                  <c:v>28256.122515081028</c:v>
                </c:pt>
                <c:pt idx="7">
                  <c:v>33310.853932198857</c:v>
                </c:pt>
                <c:pt idx="8">
                  <c:v>38574.789175690392</c:v>
                </c:pt>
                <c:pt idx="9">
                  <c:v>44028.903736922977</c:v>
                </c:pt>
                <c:pt idx="10">
                  <c:v>49658.349580647686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E5-4777-9405-97A930FA0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975231"/>
        <c:axId val="388976063"/>
      </c:lineChart>
      <c:catAx>
        <c:axId val="38897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76063"/>
        <c:crosses val="autoZero"/>
        <c:auto val="1"/>
        <c:lblAlgn val="ctr"/>
        <c:lblOffset val="100"/>
        <c:noMultiLvlLbl val="0"/>
      </c:catAx>
      <c:valAx>
        <c:axId val="3889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BEV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PHEV (Manheim Market Share)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PHEV mid point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summary'!$K$40:$K$50</c:f>
              <c:numCache>
                <c:formatCode>_-* #,##0_-;\-* #,##0_-;_-* "-"??_-;_-@_-</c:formatCode>
                <c:ptCount val="11"/>
                <c:pt idx="0">
                  <c:v>2809.571496</c:v>
                </c:pt>
                <c:pt idx="1">
                  <c:v>3518.2046160000054</c:v>
                </c:pt>
                <c:pt idx="2">
                  <c:v>4226.8377360000068</c:v>
                </c:pt>
                <c:pt idx="3">
                  <c:v>4935.4708560000126</c:v>
                </c:pt>
                <c:pt idx="4">
                  <c:v>5644.1039760000131</c:v>
                </c:pt>
                <c:pt idx="5">
                  <c:v>6352.7370960000189</c:v>
                </c:pt>
                <c:pt idx="6">
                  <c:v>7061.3702159999993</c:v>
                </c:pt>
                <c:pt idx="7">
                  <c:v>7770.0033359999989</c:v>
                </c:pt>
                <c:pt idx="8">
                  <c:v>8478.6364560000638</c:v>
                </c:pt>
                <c:pt idx="9">
                  <c:v>9187.2695760000643</c:v>
                </c:pt>
                <c:pt idx="10">
                  <c:v>9895.9026960000647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C-41CB-A2C9-59067098691C}"/>
            </c:ext>
          </c:extLst>
        </c:ser>
        <c:ser>
          <c:idx val="1"/>
          <c:order val="1"/>
          <c:tx>
            <c:v>PHEV lower bound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summary'!$L$40:$L$50</c:f>
              <c:numCache>
                <c:formatCode>_-* #,##0_-;\-* #,##0_-;_-* "-"??_-;_-@_-</c:formatCode>
                <c:ptCount val="11"/>
                <c:pt idx="0">
                  <c:v>2621.6832357000922</c:v>
                </c:pt>
                <c:pt idx="1">
                  <c:v>2924.0497678457109</c:v>
                </c:pt>
                <c:pt idx="2">
                  <c:v>3097.2736238179887</c:v>
                </c:pt>
                <c:pt idx="3">
                  <c:v>3167.2094426222197</c:v>
                </c:pt>
                <c:pt idx="4">
                  <c:v>3148.4515284487929</c:v>
                </c:pt>
                <c:pt idx="5">
                  <c:v>3050.7264433579553</c:v>
                </c:pt>
                <c:pt idx="6">
                  <c:v>2881.1203206624232</c:v>
                </c:pt>
                <c:pt idx="7">
                  <c:v>2645.0948705986402</c:v>
                </c:pt>
                <c:pt idx="8">
                  <c:v>2347.0275112099789</c:v>
                </c:pt>
                <c:pt idx="9">
                  <c:v>1990.5290127603691</c:v>
                </c:pt>
                <c:pt idx="10">
                  <c:v>1578.6442922445408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8C-41CB-A2C9-59067098691C}"/>
            </c:ext>
          </c:extLst>
        </c:ser>
        <c:ser>
          <c:idx val="2"/>
          <c:order val="2"/>
          <c:tx>
            <c:v>PHEV upper bound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- summary'!$A$40:$A$50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'Forecast - summary'!$M$40:$M$50</c:f>
              <c:numCache>
                <c:formatCode>_-* #,##0_-;\-* #,##0_-;_-* "-"??_-;_-@_-</c:formatCode>
                <c:ptCount val="11"/>
                <c:pt idx="0">
                  <c:v>2997.459756299907</c:v>
                </c:pt>
                <c:pt idx="1">
                  <c:v>4112.359464154295</c:v>
                </c:pt>
                <c:pt idx="2">
                  <c:v>5356.401848182024</c:v>
                </c:pt>
                <c:pt idx="3">
                  <c:v>6703.7322693778124</c:v>
                </c:pt>
                <c:pt idx="4">
                  <c:v>8139.7564235512318</c:v>
                </c:pt>
                <c:pt idx="5">
                  <c:v>9654.747748642063</c:v>
                </c:pt>
                <c:pt idx="6">
                  <c:v>11241.620111337641</c:v>
                </c:pt>
                <c:pt idx="7">
                  <c:v>12894.911801401431</c:v>
                </c:pt>
                <c:pt idx="8">
                  <c:v>14610.245400790118</c:v>
                </c:pt>
                <c:pt idx="9">
                  <c:v>16384.010139239734</c:v>
                </c:pt>
                <c:pt idx="10">
                  <c:v>18213.161099755584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8C-41CB-A2C9-590670986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193359"/>
        <c:axId val="519195439"/>
      </c:lineChart>
      <c:catAx>
        <c:axId val="51919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95439"/>
        <c:crosses val="autoZero"/>
        <c:auto val="1"/>
        <c:lblAlgn val="ctr"/>
        <c:lblOffset val="100"/>
        <c:noMultiLvlLbl val="0"/>
      </c:catAx>
      <c:valAx>
        <c:axId val="5191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Licensed</a:t>
                </a:r>
                <a:r>
                  <a:rPr lang="en-GB" baseline="0"/>
                  <a:t> PHEV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9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Licensed</a:t>
            </a:r>
            <a:r>
              <a:rPr lang="en-GB" baseline="0"/>
              <a:t> Cars 2014- 2022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BEV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 historic'!$A$5:$A$35</c:f>
              <c:numCache>
                <c:formatCode>m/d/yyyy</c:formatCode>
                <c:ptCount val="31"/>
                <c:pt idx="0">
                  <c:v>41821</c:v>
                </c:pt>
                <c:pt idx="1">
                  <c:v>41913</c:v>
                </c:pt>
                <c:pt idx="2">
                  <c:v>42005</c:v>
                </c:pt>
                <c:pt idx="3">
                  <c:v>42095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42461</c:v>
                </c:pt>
                <c:pt idx="8">
                  <c:v>42552</c:v>
                </c:pt>
                <c:pt idx="9">
                  <c:v>42644</c:v>
                </c:pt>
                <c:pt idx="10">
                  <c:v>42736</c:v>
                </c:pt>
                <c:pt idx="11">
                  <c:v>42826</c:v>
                </c:pt>
                <c:pt idx="12">
                  <c:v>42917</c:v>
                </c:pt>
                <c:pt idx="13">
                  <c:v>43009</c:v>
                </c:pt>
                <c:pt idx="14">
                  <c:v>43101</c:v>
                </c:pt>
                <c:pt idx="15">
                  <c:v>43191</c:v>
                </c:pt>
                <c:pt idx="16">
                  <c:v>43282</c:v>
                </c:pt>
                <c:pt idx="17">
                  <c:v>43374</c:v>
                </c:pt>
                <c:pt idx="18">
                  <c:v>43466</c:v>
                </c:pt>
                <c:pt idx="19">
                  <c:v>43556</c:v>
                </c:pt>
                <c:pt idx="20">
                  <c:v>43647</c:v>
                </c:pt>
                <c:pt idx="21">
                  <c:v>43739</c:v>
                </c:pt>
                <c:pt idx="22">
                  <c:v>43831</c:v>
                </c:pt>
                <c:pt idx="23">
                  <c:v>43922</c:v>
                </c:pt>
                <c:pt idx="24">
                  <c:v>44013</c:v>
                </c:pt>
                <c:pt idx="25">
                  <c:v>44105</c:v>
                </c:pt>
                <c:pt idx="26">
                  <c:v>44197</c:v>
                </c:pt>
                <c:pt idx="27">
                  <c:v>44287</c:v>
                </c:pt>
                <c:pt idx="28">
                  <c:v>44378</c:v>
                </c:pt>
                <c:pt idx="29">
                  <c:v>44470</c:v>
                </c:pt>
                <c:pt idx="30">
                  <c:v>44562</c:v>
                </c:pt>
              </c:numCache>
            </c:numRef>
          </c:cat>
          <c:val>
            <c:numRef>
              <c:f>'EV historic'!$B$5:$B$35</c:f>
              <c:numCache>
                <c:formatCode>_-* #,##0_-;\-* #,##0_-;_-* "-"??_-;_-@_-</c:formatCode>
                <c:ptCount val="31"/>
                <c:pt idx="0">
                  <c:v>10607</c:v>
                </c:pt>
                <c:pt idx="1">
                  <c:v>12364</c:v>
                </c:pt>
                <c:pt idx="2">
                  <c:v>14584</c:v>
                </c:pt>
                <c:pt idx="3">
                  <c:v>16320</c:v>
                </c:pt>
                <c:pt idx="4">
                  <c:v>18326</c:v>
                </c:pt>
                <c:pt idx="5">
                  <c:v>20959</c:v>
                </c:pt>
                <c:pt idx="6">
                  <c:v>23758</c:v>
                </c:pt>
                <c:pt idx="7">
                  <c:v>25339</c:v>
                </c:pt>
                <c:pt idx="8">
                  <c:v>27944</c:v>
                </c:pt>
                <c:pt idx="9">
                  <c:v>29721</c:v>
                </c:pt>
                <c:pt idx="10">
                  <c:v>33515</c:v>
                </c:pt>
                <c:pt idx="11">
                  <c:v>36026</c:v>
                </c:pt>
                <c:pt idx="12">
                  <c:v>39494</c:v>
                </c:pt>
                <c:pt idx="13">
                  <c:v>42021</c:v>
                </c:pt>
                <c:pt idx="14">
                  <c:v>45601</c:v>
                </c:pt>
                <c:pt idx="15">
                  <c:v>48545</c:v>
                </c:pt>
                <c:pt idx="16">
                  <c:v>52286</c:v>
                </c:pt>
                <c:pt idx="17">
                  <c:v>56311</c:v>
                </c:pt>
                <c:pt idx="18">
                  <c:v>61259</c:v>
                </c:pt>
                <c:pt idx="19">
                  <c:v>66729</c:v>
                </c:pt>
                <c:pt idx="20">
                  <c:v>78719</c:v>
                </c:pt>
                <c:pt idx="21">
                  <c:v>90859</c:v>
                </c:pt>
                <c:pt idx="22">
                  <c:v>108258</c:v>
                </c:pt>
                <c:pt idx="23">
                  <c:v>119910</c:v>
                </c:pt>
                <c:pt idx="24">
                  <c:v>154305</c:v>
                </c:pt>
                <c:pt idx="25">
                  <c:v>193993</c:v>
                </c:pt>
                <c:pt idx="26">
                  <c:v>224126</c:v>
                </c:pt>
                <c:pt idx="27">
                  <c:v>265641</c:v>
                </c:pt>
                <c:pt idx="28">
                  <c:v>315025</c:v>
                </c:pt>
                <c:pt idx="29">
                  <c:v>379221</c:v>
                </c:pt>
                <c:pt idx="30">
                  <c:v>441167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B-4442-9D60-45B912635AC9}"/>
            </c:ext>
          </c:extLst>
        </c:ser>
        <c:ser>
          <c:idx val="1"/>
          <c:order val="1"/>
          <c:tx>
            <c:v>PHEV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'EV historic'!$A$5:$A$35</c:f>
              <c:numCache>
                <c:formatCode>m/d/yyyy</c:formatCode>
                <c:ptCount val="31"/>
                <c:pt idx="0">
                  <c:v>41821</c:v>
                </c:pt>
                <c:pt idx="1">
                  <c:v>41913</c:v>
                </c:pt>
                <c:pt idx="2">
                  <c:v>42005</c:v>
                </c:pt>
                <c:pt idx="3">
                  <c:v>42095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42461</c:v>
                </c:pt>
                <c:pt idx="8">
                  <c:v>42552</c:v>
                </c:pt>
                <c:pt idx="9">
                  <c:v>42644</c:v>
                </c:pt>
                <c:pt idx="10">
                  <c:v>42736</c:v>
                </c:pt>
                <c:pt idx="11">
                  <c:v>42826</c:v>
                </c:pt>
                <c:pt idx="12">
                  <c:v>42917</c:v>
                </c:pt>
                <c:pt idx="13">
                  <c:v>43009</c:v>
                </c:pt>
                <c:pt idx="14">
                  <c:v>43101</c:v>
                </c:pt>
                <c:pt idx="15">
                  <c:v>43191</c:v>
                </c:pt>
                <c:pt idx="16">
                  <c:v>43282</c:v>
                </c:pt>
                <c:pt idx="17">
                  <c:v>43374</c:v>
                </c:pt>
                <c:pt idx="18">
                  <c:v>43466</c:v>
                </c:pt>
                <c:pt idx="19">
                  <c:v>43556</c:v>
                </c:pt>
                <c:pt idx="20">
                  <c:v>43647</c:v>
                </c:pt>
                <c:pt idx="21">
                  <c:v>43739</c:v>
                </c:pt>
                <c:pt idx="22">
                  <c:v>43831</c:v>
                </c:pt>
                <c:pt idx="23">
                  <c:v>43922</c:v>
                </c:pt>
                <c:pt idx="24">
                  <c:v>44013</c:v>
                </c:pt>
                <c:pt idx="25">
                  <c:v>44105</c:v>
                </c:pt>
                <c:pt idx="26">
                  <c:v>44197</c:v>
                </c:pt>
                <c:pt idx="27">
                  <c:v>44287</c:v>
                </c:pt>
                <c:pt idx="28">
                  <c:v>44378</c:v>
                </c:pt>
                <c:pt idx="29">
                  <c:v>44470</c:v>
                </c:pt>
                <c:pt idx="30">
                  <c:v>44562</c:v>
                </c:pt>
              </c:numCache>
            </c:numRef>
          </c:cat>
          <c:val>
            <c:numRef>
              <c:f>'EV historic'!$E$5:$E$35</c:f>
              <c:numCache>
                <c:formatCode>_-* #,##0_-;\-* #,##0_-;_-* "-"??_-;_-@_-</c:formatCode>
                <c:ptCount val="31"/>
                <c:pt idx="0">
                  <c:v>6284</c:v>
                </c:pt>
                <c:pt idx="1">
                  <c:v>9691</c:v>
                </c:pt>
                <c:pt idx="2">
                  <c:v>15447</c:v>
                </c:pt>
                <c:pt idx="3">
                  <c:v>19235</c:v>
                </c:pt>
                <c:pt idx="4">
                  <c:v>23334</c:v>
                </c:pt>
                <c:pt idx="5">
                  <c:v>27470</c:v>
                </c:pt>
                <c:pt idx="6">
                  <c:v>35468</c:v>
                </c:pt>
                <c:pt idx="7">
                  <c:v>41933</c:v>
                </c:pt>
                <c:pt idx="8">
                  <c:v>49007</c:v>
                </c:pt>
                <c:pt idx="9">
                  <c:v>54865</c:v>
                </c:pt>
                <c:pt idx="10">
                  <c:v>62784</c:v>
                </c:pt>
                <c:pt idx="11">
                  <c:v>69707</c:v>
                </c:pt>
                <c:pt idx="12">
                  <c:v>78680</c:v>
                </c:pt>
                <c:pt idx="13">
                  <c:v>86867</c:v>
                </c:pt>
                <c:pt idx="14">
                  <c:v>95875</c:v>
                </c:pt>
                <c:pt idx="15">
                  <c:v>105633</c:v>
                </c:pt>
                <c:pt idx="16">
                  <c:v>116417</c:v>
                </c:pt>
                <c:pt idx="17">
                  <c:v>126130</c:v>
                </c:pt>
                <c:pt idx="18">
                  <c:v>134003</c:v>
                </c:pt>
                <c:pt idx="19">
                  <c:v>139326</c:v>
                </c:pt>
                <c:pt idx="20">
                  <c:v>145895</c:v>
                </c:pt>
                <c:pt idx="21">
                  <c:v>155958</c:v>
                </c:pt>
                <c:pt idx="22">
                  <c:v>167566</c:v>
                </c:pt>
                <c:pt idx="23">
                  <c:v>173007</c:v>
                </c:pt>
                <c:pt idx="24">
                  <c:v>193510</c:v>
                </c:pt>
                <c:pt idx="25">
                  <c:v>214516</c:v>
                </c:pt>
                <c:pt idx="26">
                  <c:v>238252</c:v>
                </c:pt>
                <c:pt idx="27">
                  <c:v>269506</c:v>
                </c:pt>
                <c:pt idx="28">
                  <c:v>296490</c:v>
                </c:pt>
                <c:pt idx="29">
                  <c:v>321441</c:v>
                </c:pt>
                <c:pt idx="30">
                  <c:v>348546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6B-4442-9D60-45B912635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713168"/>
        <c:axId val="1288985344"/>
      </c:lineChart>
      <c:dateAx>
        <c:axId val="3277131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85344"/>
        <c:crosses val="autoZero"/>
        <c:auto val="1"/>
        <c:lblOffset val="100"/>
        <c:baseTimeUnit val="months"/>
      </c:dateAx>
      <c:valAx>
        <c:axId val="12889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131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2023</a:t>
            </a:r>
          </a:p>
        </c:rich>
      </c:tx>
      <c:layout>
        <c:manualLayout>
          <c:xMode val="edge"/>
          <c:yMode val="edge"/>
          <c:x val="0.52168338907469347"/>
          <c:y val="1.1138958507379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[1]Sheet1!$Q$65:$Q$66</c:f>
              <c:strCache>
                <c:ptCount val="1"/>
                <c:pt idx="0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[1]Sheet1!$Q$67:$Q$78</c:f>
              <c:numCache>
                <c:formatCode>General</c:formatCode>
                <c:ptCount val="12"/>
                <c:pt idx="0">
                  <c:v>595463.73078469292</c:v>
                </c:pt>
                <c:pt idx="1">
                  <c:v>428682.19757975754</c:v>
                </c:pt>
                <c:pt idx="2">
                  <c:v>299772.15599012055</c:v>
                </c:pt>
                <c:pt idx="3">
                  <c:v>170252.06543806006</c:v>
                </c:pt>
                <c:pt idx="4">
                  <c:v>69590.330455304691</c:v>
                </c:pt>
                <c:pt idx="5">
                  <c:v>56848.562862908322</c:v>
                </c:pt>
                <c:pt idx="6">
                  <c:v>44390.282718848866</c:v>
                </c:pt>
                <c:pt idx="7">
                  <c:v>34236.688130153656</c:v>
                </c:pt>
                <c:pt idx="8">
                  <c:v>25715.832260610365</c:v>
                </c:pt>
                <c:pt idx="9">
                  <c:v>12957.20614562124</c:v>
                </c:pt>
                <c:pt idx="10">
                  <c:v>3129.2541153840843</c:v>
                </c:pt>
                <c:pt idx="11">
                  <c:v>1741038.306481462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F-4AD9-A589-CFCFA759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[1]Sheet1!$P$65:$P$66</c:f>
              <c:strCache>
                <c:ptCount val="1"/>
                <c:pt idx="0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[1]Sheet1!$P$67:$P$78</c:f>
              <c:numCache>
                <c:formatCode>General</c:formatCode>
                <c:ptCount val="12"/>
                <c:pt idx="0">
                  <c:v>0.29668152550767707</c:v>
                </c:pt>
                <c:pt idx="1">
                  <c:v>0.25145180023228808</c:v>
                </c:pt>
                <c:pt idx="2">
                  <c:v>0.18533543065394756</c:v>
                </c:pt>
                <c:pt idx="3">
                  <c:v>0.10587934088279986</c:v>
                </c:pt>
                <c:pt idx="4">
                  <c:v>3.1566090351948357E-2</c:v>
                </c:pt>
                <c:pt idx="5">
                  <c:v>2.5710872800425142E-2</c:v>
                </c:pt>
                <c:pt idx="6">
                  <c:v>1.9341148150740197E-2</c:v>
                </c:pt>
                <c:pt idx="7">
                  <c:v>1.393261985532422E-2</c:v>
                </c:pt>
                <c:pt idx="8">
                  <c:v>1.0828310850043498E-2</c:v>
                </c:pt>
                <c:pt idx="9">
                  <c:v>5.9341839437184749E-3</c:v>
                </c:pt>
                <c:pt idx="10">
                  <c:v>1.5950860128922395E-3</c:v>
                </c:pt>
                <c:pt idx="11">
                  <c:v>7.6949924034444867E-2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F-4AD9-A589-CFCFA759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in val="-200000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2024</a:t>
            </a:r>
          </a:p>
        </c:rich>
      </c:tx>
      <c:layout>
        <c:manualLayout>
          <c:xMode val="edge"/>
          <c:yMode val="edge"/>
          <c:x val="0.51891213389121338"/>
          <c:y val="1.1142061281337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[1]Sheet1!$T$65:$T$66</c:f>
              <c:strCache>
                <c:ptCount val="1"/>
                <c:pt idx="0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[1]Sheet1!$T$67:$T$78</c:f>
              <c:numCache>
                <c:formatCode>General</c:formatCode>
                <c:ptCount val="12"/>
                <c:pt idx="0">
                  <c:v>646162.64609357319</c:v>
                </c:pt>
                <c:pt idx="1">
                  <c:v>593026.87378816342</c:v>
                </c:pt>
                <c:pt idx="2">
                  <c:v>425186.44640092965</c:v>
                </c:pt>
                <c:pt idx="3">
                  <c:v>296424.18850909616</c:v>
                </c:pt>
                <c:pt idx="4">
                  <c:v>168107.28193131642</c:v>
                </c:pt>
                <c:pt idx="5">
                  <c:v>68873.76419758203</c:v>
                </c:pt>
                <c:pt idx="6">
                  <c:v>56269.517973233924</c:v>
                </c:pt>
                <c:pt idx="7">
                  <c:v>43843.406158600068</c:v>
                </c:pt>
                <c:pt idx="8">
                  <c:v>33670.15117221322</c:v>
                </c:pt>
                <c:pt idx="9">
                  <c:v>25157.578649453884</c:v>
                </c:pt>
                <c:pt idx="10">
                  <c:v>12675.923897083183</c:v>
                </c:pt>
                <c:pt idx="11">
                  <c:v>2369397.7787712449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8-4081-B82D-888A8AB56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[1]Sheet1!$S$65:$S$66</c:f>
              <c:strCache>
                <c:ptCount val="1"/>
                <c:pt idx="0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[1]Sheet1!$S$67:$S$78</c:f>
              <c:numCache>
                <c:formatCode>General</c:formatCode>
                <c:ptCount val="12"/>
                <c:pt idx="0">
                  <c:v>0.28260869565217389</c:v>
                </c:pt>
                <c:pt idx="1">
                  <c:v>0.29668152550767707</c:v>
                </c:pt>
                <c:pt idx="2">
                  <c:v>0.25145180023228803</c:v>
                </c:pt>
                <c:pt idx="3">
                  <c:v>0.18533543065394756</c:v>
                </c:pt>
                <c:pt idx="4">
                  <c:v>0.10587934088279986</c:v>
                </c:pt>
                <c:pt idx="5">
                  <c:v>3.156609035194835E-2</c:v>
                </c:pt>
                <c:pt idx="6">
                  <c:v>2.5710872800425146E-2</c:v>
                </c:pt>
                <c:pt idx="7">
                  <c:v>1.9341148150740201E-2</c:v>
                </c:pt>
                <c:pt idx="8">
                  <c:v>1.3932619855324218E-2</c:v>
                </c:pt>
                <c:pt idx="9">
                  <c:v>1.0828310850043496E-2</c:v>
                </c:pt>
                <c:pt idx="10">
                  <c:v>5.9341839437184758E-3</c:v>
                </c:pt>
                <c:pt idx="11">
                  <c:v>0.10448618121901317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8-4081-B82D-888A8AB56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ax val="2500000"/>
          <c:min val="-250000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2025</a:t>
            </a:r>
          </a:p>
        </c:rich>
      </c:tx>
      <c:layout>
        <c:manualLayout>
          <c:xMode val="edge"/>
          <c:yMode val="edge"/>
          <c:x val="0.52171970965940817"/>
          <c:y val="1.1145165784341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[1]Sheet1!$W$65:$W$66</c:f>
              <c:strCache>
                <c:ptCount val="1"/>
                <c:pt idx="0">
                  <c:v>Total EVs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[1]Sheet1!$W$67:$W$78</c:f>
              <c:numCache>
                <c:formatCode>General</c:formatCode>
                <c:ptCount val="12"/>
                <c:pt idx="0">
                  <c:v>795277.10288439784</c:v>
                </c:pt>
                <c:pt idx="1">
                  <c:v>643518.31045460131</c:v>
                </c:pt>
                <c:pt idx="2">
                  <c:v>588190.95010197896</c:v>
                </c:pt>
                <c:pt idx="3">
                  <c:v>420437.80524971627</c:v>
                </c:pt>
                <c:pt idx="4">
                  <c:v>292689.92714270187</c:v>
                </c:pt>
                <c:pt idx="5">
                  <c:v>166376.29423343763</c:v>
                </c:pt>
                <c:pt idx="6">
                  <c:v>68172.233689459536</c:v>
                </c:pt>
                <c:pt idx="7">
                  <c:v>55576.292371789546</c:v>
                </c:pt>
                <c:pt idx="8">
                  <c:v>43117.900529772509</c:v>
                </c:pt>
                <c:pt idx="9">
                  <c:v>32939.220775343907</c:v>
                </c:pt>
                <c:pt idx="10">
                  <c:v>24611.443918651381</c:v>
                </c:pt>
                <c:pt idx="11">
                  <c:v>3130907.481351851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E-46D4-B66B-D9AC29E5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9633984"/>
        <c:axId val="819622752"/>
      </c:barChart>
      <c:barChart>
        <c:barDir val="bar"/>
        <c:grouping val="clustered"/>
        <c:varyColors val="0"/>
        <c:ser>
          <c:idx val="0"/>
          <c:order val="0"/>
          <c:tx>
            <c:strRef>
              <c:f>[1]Sheet1!$V$65:$V$66</c:f>
              <c:strCache>
                <c:ptCount val="1"/>
                <c:pt idx="0">
                  <c:v>% of Parc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[1]Sheet1!$O$67:$O$78</c:f>
              <c:strCache>
                <c:ptCount val="12"/>
                <c:pt idx="0">
                  <c:v>Up to 1 year</c:v>
                </c:pt>
                <c:pt idx="1">
                  <c:v>1-2 years</c:v>
                </c:pt>
                <c:pt idx="2">
                  <c:v>2-3 years</c:v>
                </c:pt>
                <c:pt idx="3">
                  <c:v>3-4 years</c:v>
                </c:pt>
                <c:pt idx="4">
                  <c:v>4-5 years</c:v>
                </c:pt>
                <c:pt idx="5">
                  <c:v>5-6 years</c:v>
                </c:pt>
                <c:pt idx="6">
                  <c:v>6-7 years</c:v>
                </c:pt>
                <c:pt idx="7">
                  <c:v>7-8 years</c:v>
                </c:pt>
                <c:pt idx="8">
                  <c:v>8-9 years</c:v>
                </c:pt>
                <c:pt idx="9">
                  <c:v>9-10 years</c:v>
                </c:pt>
                <c:pt idx="10">
                  <c:v>10+ years</c:v>
                </c:pt>
                <c:pt idx="11">
                  <c:v>Total</c:v>
                </c:pt>
              </c:strCache>
            </c:strRef>
          </c:cat>
          <c:val>
            <c:numRef>
              <c:f>[1]Sheet1!$V$67:$V$78</c:f>
              <c:numCache>
                <c:formatCode>General</c:formatCode>
                <c:ptCount val="12"/>
                <c:pt idx="0">
                  <c:v>0.34782608695652173</c:v>
                </c:pt>
                <c:pt idx="1">
                  <c:v>0.28260869565217389</c:v>
                </c:pt>
                <c:pt idx="2">
                  <c:v>0.29668152550767707</c:v>
                </c:pt>
                <c:pt idx="3">
                  <c:v>0.25145180023228803</c:v>
                </c:pt>
                <c:pt idx="4">
                  <c:v>0.18533543065394756</c:v>
                </c:pt>
                <c:pt idx="5">
                  <c:v>0.10587934088279985</c:v>
                </c:pt>
                <c:pt idx="6">
                  <c:v>3.156609035194835E-2</c:v>
                </c:pt>
                <c:pt idx="7">
                  <c:v>2.5710872800425149E-2</c:v>
                </c:pt>
                <c:pt idx="8">
                  <c:v>1.9341148150740197E-2</c:v>
                </c:pt>
                <c:pt idx="9">
                  <c:v>1.3932619855324218E-2</c:v>
                </c:pt>
                <c:pt idx="10">
                  <c:v>1.0828310850043496E-2</c:v>
                </c:pt>
                <c:pt idx="11">
                  <c:v>0.1388037336941787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E-46D4-B66B-D9AC29E5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17419808"/>
        <c:axId val="817426464"/>
      </c:barChart>
      <c:catAx>
        <c:axId val="819633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22752"/>
        <c:crosses val="autoZero"/>
        <c:auto val="1"/>
        <c:lblAlgn val="ctr"/>
        <c:lblOffset val="100"/>
        <c:noMultiLvlLbl val="0"/>
      </c:catAx>
      <c:valAx>
        <c:axId val="819622752"/>
        <c:scaling>
          <c:orientation val="minMax"/>
          <c:max val="3500000"/>
          <c:min val="-350000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33984"/>
        <c:crosses val="autoZero"/>
        <c:crossBetween val="between"/>
      </c:valAx>
      <c:valAx>
        <c:axId val="817426464"/>
        <c:scaling>
          <c:orientation val="maxMin"/>
          <c:max val="0.4"/>
          <c:min val="-0.4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9808"/>
        <c:crosses val="max"/>
        <c:crossBetween val="between"/>
      </c:valAx>
      <c:catAx>
        <c:axId val="8174198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742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</a:t>
            </a:r>
            <a:r>
              <a:rPr lang="en-GB" baseline="0"/>
              <a:t> of BEV and PHEV cars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97366085248287"/>
          <c:y val="0.11082447803980701"/>
          <c:w val="0.76148730430496081"/>
          <c:h val="0.7497519196006727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forecasts'!$B$1:$R$1</c:f>
              <c:strCache>
                <c:ptCount val="17"/>
                <c:pt idx="0">
                  <c:v>Brunting</c:v>
                </c:pt>
                <c:pt idx="1">
                  <c:v>Bristol</c:v>
                </c:pt>
                <c:pt idx="2">
                  <c:v>Vehicle Solutions Leeds</c:v>
                </c:pt>
                <c:pt idx="3">
                  <c:v>Leeds</c:v>
                </c:pt>
                <c:pt idx="4">
                  <c:v>Colchester</c:v>
                </c:pt>
                <c:pt idx="5">
                  <c:v>Wimbledon</c:v>
                </c:pt>
                <c:pt idx="6">
                  <c:v>Vehicle Solutions Coventry</c:v>
                </c:pt>
                <c:pt idx="7">
                  <c:v>Manchester</c:v>
                </c:pt>
                <c:pt idx="8">
                  <c:v>Plymouth</c:v>
                </c:pt>
                <c:pt idx="9">
                  <c:v>Washington</c:v>
                </c:pt>
                <c:pt idx="10">
                  <c:v>Northampton</c:v>
                </c:pt>
                <c:pt idx="11">
                  <c:v>Mansfield</c:v>
                </c:pt>
                <c:pt idx="12">
                  <c:v>Shotts</c:v>
                </c:pt>
                <c:pt idx="13">
                  <c:v>ManheimOnline</c:v>
                </c:pt>
                <c:pt idx="14">
                  <c:v>Birmingham</c:v>
                </c:pt>
                <c:pt idx="15">
                  <c:v>Gloucester</c:v>
                </c:pt>
                <c:pt idx="16">
                  <c:v>Haydock</c:v>
                </c:pt>
              </c:strCache>
            </c:strRef>
          </c:cat>
          <c:val>
            <c:numRef>
              <c:f>'branch forecasts'!$B$4:$R$4</c:f>
              <c:numCache>
                <c:formatCode>0.000</c:formatCode>
                <c:ptCount val="17"/>
                <c:pt idx="0">
                  <c:v>21.100917431192659</c:v>
                </c:pt>
                <c:pt idx="1">
                  <c:v>13.417431192660551</c:v>
                </c:pt>
                <c:pt idx="2">
                  <c:v>12.958715596330276</c:v>
                </c:pt>
                <c:pt idx="3">
                  <c:v>11.353211009174313</c:v>
                </c:pt>
                <c:pt idx="4">
                  <c:v>9.7477064220183482</c:v>
                </c:pt>
                <c:pt idx="5">
                  <c:v>5.3899082568807337</c:v>
                </c:pt>
                <c:pt idx="6">
                  <c:v>5.0458715596330279</c:v>
                </c:pt>
                <c:pt idx="7">
                  <c:v>4.2431192660550456</c:v>
                </c:pt>
                <c:pt idx="8">
                  <c:v>3.669724770642202</c:v>
                </c:pt>
                <c:pt idx="9">
                  <c:v>2.8669724770642202</c:v>
                </c:pt>
                <c:pt idx="10">
                  <c:v>2.6376146788990824</c:v>
                </c:pt>
                <c:pt idx="11">
                  <c:v>2.1788990825688073</c:v>
                </c:pt>
                <c:pt idx="12">
                  <c:v>2.0642201834862384</c:v>
                </c:pt>
                <c:pt idx="13">
                  <c:v>1.3761467889908257</c:v>
                </c:pt>
                <c:pt idx="14">
                  <c:v>1.1467889908256881</c:v>
                </c:pt>
                <c:pt idx="15">
                  <c:v>0.45871559633027525</c:v>
                </c:pt>
                <c:pt idx="16">
                  <c:v>0.34403669724770641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4-48BB-BFD4-85BC4849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2049872"/>
        <c:axId val="1202050288"/>
      </c:barChart>
      <c:catAx>
        <c:axId val="120204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50288"/>
        <c:crosses val="autoZero"/>
        <c:auto val="1"/>
        <c:lblAlgn val="ctr"/>
        <c:lblOffset val="100"/>
        <c:noMultiLvlLbl val="0"/>
      </c:catAx>
      <c:valAx>
        <c:axId val="120205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</a:t>
                </a:r>
                <a:r>
                  <a:rPr lang="en-GB" baseline="0"/>
                  <a:t> of total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4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PHEV- mid values</a:t>
            </a:r>
            <a:r>
              <a:rPr lang="en-GB" baseline="0"/>
              <a:t>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'PHEV and BEV volumes'!$B$8</c:f>
              <c:strCache>
                <c:ptCount val="1"/>
                <c:pt idx="0">
                  <c:v>Brunting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volumes'!$B$9:$B$19</c:f>
              <c:numCache>
                <c:formatCode>0</c:formatCode>
                <c:ptCount val="11"/>
                <c:pt idx="0">
                  <c:v>592.84536154128432</c:v>
                </c:pt>
                <c:pt idx="1">
                  <c:v>742.37345108257</c:v>
                </c:pt>
                <c:pt idx="2">
                  <c:v>891.90154062385454</c:v>
                </c:pt>
                <c:pt idx="3">
                  <c:v>1041.4296301651402</c:v>
                </c:pt>
                <c:pt idx="4">
                  <c:v>1190.9577197064248</c:v>
                </c:pt>
                <c:pt idx="5">
                  <c:v>1340.4858092477102</c:v>
                </c:pt>
                <c:pt idx="6">
                  <c:v>1490.0138987889907</c:v>
                </c:pt>
                <c:pt idx="7">
                  <c:v>1639.5419883302748</c:v>
                </c:pt>
                <c:pt idx="8">
                  <c:v>1789.0700778715729</c:v>
                </c:pt>
                <c:pt idx="9">
                  <c:v>1938.5981674128575</c:v>
                </c:pt>
                <c:pt idx="10">
                  <c:v>2088.1262569541418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2-4FD9-93E9-B06BF966CDC1}"/>
            </c:ext>
          </c:extLst>
        </c:ser>
        <c:ser>
          <c:idx val="1"/>
          <c:order val="1"/>
          <c:tx>
            <c:strRef>
              <c:f>'PHEV and BEV volumes'!$C$8</c:f>
              <c:strCache>
                <c:ptCount val="1"/>
                <c:pt idx="0">
                  <c:v>Bristol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volumes'!$C$9:$C$19</c:f>
              <c:numCache>
                <c:formatCode>0</c:formatCode>
                <c:ptCount val="11"/>
                <c:pt idx="0">
                  <c:v>376.97232228440373</c:v>
                </c:pt>
                <c:pt idx="1">
                  <c:v>472.05268356880805</c:v>
                </c:pt>
                <c:pt idx="2">
                  <c:v>567.13304485321203</c:v>
                </c:pt>
                <c:pt idx="3">
                  <c:v>662.2134061376164</c:v>
                </c:pt>
                <c:pt idx="4">
                  <c:v>757.29376742202021</c:v>
                </c:pt>
                <c:pt idx="5">
                  <c:v>852.3741287064247</c:v>
                </c:pt>
                <c:pt idx="6">
                  <c:v>947.45448999082566</c:v>
                </c:pt>
                <c:pt idx="7">
                  <c:v>1042.5348512752294</c:v>
                </c:pt>
                <c:pt idx="8">
                  <c:v>1137.6152125596416</c:v>
                </c:pt>
                <c:pt idx="9">
                  <c:v>1232.6955738440454</c:v>
                </c:pt>
                <c:pt idx="10">
                  <c:v>1327.775935128449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2-4FD9-93E9-B06BF966CDC1}"/>
            </c:ext>
          </c:extLst>
        </c:ser>
        <c:ser>
          <c:idx val="2"/>
          <c:order val="2"/>
          <c:tx>
            <c:strRef>
              <c:f>'PHEV and BEV volumes'!$D$8</c:f>
              <c:strCache>
                <c:ptCount val="1"/>
                <c:pt idx="0">
                  <c:v>Vehicle Solutions Leeds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volumes'!$D$9:$D$19</c:f>
              <c:numCache>
                <c:formatCode>0</c:formatCode>
                <c:ptCount val="11"/>
                <c:pt idx="0">
                  <c:v>364.08437964220184</c:v>
                </c:pt>
                <c:pt idx="1">
                  <c:v>455.91413028440439</c:v>
                </c:pt>
                <c:pt idx="2">
                  <c:v>547.74388092660638</c:v>
                </c:pt>
                <c:pt idx="3">
                  <c:v>639.57363156880899</c:v>
                </c:pt>
                <c:pt idx="4">
                  <c:v>731.40338221101092</c:v>
                </c:pt>
                <c:pt idx="5">
                  <c:v>823.23313285321342</c:v>
                </c:pt>
                <c:pt idx="6">
                  <c:v>915.06288349541285</c:v>
                </c:pt>
                <c:pt idx="7">
                  <c:v>1006.8926341376146</c:v>
                </c:pt>
                <c:pt idx="8">
                  <c:v>1098.7223847798248</c:v>
                </c:pt>
                <c:pt idx="9">
                  <c:v>1190.5521354220268</c:v>
                </c:pt>
                <c:pt idx="10">
                  <c:v>1282.3818860642286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52-4FD9-93E9-B06BF966CDC1}"/>
            </c:ext>
          </c:extLst>
        </c:ser>
        <c:ser>
          <c:idx val="3"/>
          <c:order val="3"/>
          <c:tx>
            <c:strRef>
              <c:f>'PHEV and BEV volumes'!$E$8</c:f>
              <c:strCache>
                <c:ptCount val="1"/>
                <c:pt idx="0">
                  <c:v>Leeds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volumes'!$E$9:$E$19</c:f>
              <c:numCache>
                <c:formatCode>0</c:formatCode>
                <c:ptCount val="11"/>
                <c:pt idx="0">
                  <c:v>318.97658039449544</c:v>
                </c:pt>
                <c:pt idx="1">
                  <c:v>399.42919378899148</c:v>
                </c:pt>
                <c:pt idx="2">
                  <c:v>479.88180718348701</c:v>
                </c:pt>
                <c:pt idx="3">
                  <c:v>560.33442057798311</c:v>
                </c:pt>
                <c:pt idx="4">
                  <c:v>640.78703397247864</c:v>
                </c:pt>
                <c:pt idx="5">
                  <c:v>721.23964736697462</c:v>
                </c:pt>
                <c:pt idx="6">
                  <c:v>801.69226076146788</c:v>
                </c:pt>
                <c:pt idx="7">
                  <c:v>882.14487415596318</c:v>
                </c:pt>
                <c:pt idx="8">
                  <c:v>962.59748755046598</c:v>
                </c:pt>
                <c:pt idx="9">
                  <c:v>1043.0501009449615</c:v>
                </c:pt>
                <c:pt idx="10">
                  <c:v>1123.502714339457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52-4FD9-93E9-B06BF966CDC1}"/>
            </c:ext>
          </c:extLst>
        </c:ser>
        <c:ser>
          <c:idx val="4"/>
          <c:order val="4"/>
          <c:tx>
            <c:strRef>
              <c:f>'PHEV and BEV volumes'!$F$8</c:f>
              <c:strCache>
                <c:ptCount val="1"/>
                <c:pt idx="0">
                  <c:v>Colchester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volumes'!$F$9:$F$19</c:f>
              <c:numCache>
                <c:formatCode>0</c:formatCode>
                <c:ptCount val="11"/>
                <c:pt idx="0">
                  <c:v>273.86878114678899</c:v>
                </c:pt>
                <c:pt idx="1">
                  <c:v>342.94425729357846</c:v>
                </c:pt>
                <c:pt idx="2">
                  <c:v>412.01973344036765</c:v>
                </c:pt>
                <c:pt idx="3">
                  <c:v>481.09520958715717</c:v>
                </c:pt>
                <c:pt idx="4">
                  <c:v>550.17068573394624</c:v>
                </c:pt>
                <c:pt idx="5">
                  <c:v>619.24616188073571</c:v>
                </c:pt>
                <c:pt idx="6">
                  <c:v>688.32163802752291</c:v>
                </c:pt>
                <c:pt idx="7">
                  <c:v>757.3971141743117</c:v>
                </c:pt>
                <c:pt idx="8">
                  <c:v>826.47259032110708</c:v>
                </c:pt>
                <c:pt idx="9">
                  <c:v>895.54806646789609</c:v>
                </c:pt>
                <c:pt idx="10">
                  <c:v>964.62354261468511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52-4FD9-93E9-B06BF966CDC1}"/>
            </c:ext>
          </c:extLst>
        </c:ser>
        <c:ser>
          <c:idx val="5"/>
          <c:order val="5"/>
          <c:tx>
            <c:strRef>
              <c:f>'PHEV and BEV volumes'!$G$8</c:f>
              <c:strCache>
                <c:ptCount val="1"/>
                <c:pt idx="0">
                  <c:v>Wimbledon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volumes'!$G$9:$G$19</c:f>
              <c:numCache>
                <c:formatCode>0</c:formatCode>
                <c:ptCount val="11"/>
                <c:pt idx="0">
                  <c:v>151.43332604587155</c:v>
                </c:pt>
                <c:pt idx="1">
                  <c:v>189.62800109174339</c:v>
                </c:pt>
                <c:pt idx="2">
                  <c:v>227.82267613761502</c:v>
                </c:pt>
                <c:pt idx="3">
                  <c:v>266.01735118348688</c:v>
                </c:pt>
                <c:pt idx="4">
                  <c:v>304.21202622935851</c:v>
                </c:pt>
                <c:pt idx="5">
                  <c:v>342.40670127523038</c:v>
                </c:pt>
                <c:pt idx="6">
                  <c:v>380.60137632110082</c:v>
                </c:pt>
                <c:pt idx="7">
                  <c:v>418.79605136697239</c:v>
                </c:pt>
                <c:pt idx="8">
                  <c:v>456.99072641284744</c:v>
                </c:pt>
                <c:pt idx="9">
                  <c:v>495.18540145871907</c:v>
                </c:pt>
                <c:pt idx="10">
                  <c:v>533.38007650459065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52-4FD9-93E9-B06BF966CDC1}"/>
            </c:ext>
          </c:extLst>
        </c:ser>
        <c:ser>
          <c:idx val="6"/>
          <c:order val="6"/>
          <c:tx>
            <c:strRef>
              <c:f>'PHEV and BEV volumes'!$H$8</c:f>
              <c:strCache>
                <c:ptCount val="1"/>
                <c:pt idx="0">
                  <c:v>Vehicle Solutions Coventry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volumes'!$H$9:$H$19</c:f>
              <c:numCache>
                <c:formatCode>0</c:formatCode>
                <c:ptCount val="11"/>
                <c:pt idx="0">
                  <c:v>141.76736906422019</c:v>
                </c:pt>
                <c:pt idx="1">
                  <c:v>177.52408612844064</c:v>
                </c:pt>
                <c:pt idx="2">
                  <c:v>213.2808031926609</c:v>
                </c:pt>
                <c:pt idx="3">
                  <c:v>249.03752025688141</c:v>
                </c:pt>
                <c:pt idx="4">
                  <c:v>284.7942373211016</c:v>
                </c:pt>
                <c:pt idx="5">
                  <c:v>320.55095438532209</c:v>
                </c:pt>
                <c:pt idx="6">
                  <c:v>356.30767144954132</c:v>
                </c:pt>
                <c:pt idx="7">
                  <c:v>392.06438851376146</c:v>
                </c:pt>
                <c:pt idx="8">
                  <c:v>427.82110557798495</c:v>
                </c:pt>
                <c:pt idx="9">
                  <c:v>463.57782264220515</c:v>
                </c:pt>
                <c:pt idx="10">
                  <c:v>499.33453970642535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52-4FD9-93E9-B06BF966CDC1}"/>
            </c:ext>
          </c:extLst>
        </c:ser>
        <c:ser>
          <c:idx val="7"/>
          <c:order val="7"/>
          <c:tx>
            <c:strRef>
              <c:f>'PHEV and BEV volumes'!$I$8</c:f>
              <c:strCache>
                <c:ptCount val="1"/>
                <c:pt idx="0">
                  <c:v>Manchester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volumes'!$I$9:$I$19</c:f>
              <c:numCache>
                <c:formatCode>0</c:formatCode>
                <c:ptCount val="11"/>
                <c:pt idx="0">
                  <c:v>119.21346944036696</c:v>
                </c:pt>
                <c:pt idx="1">
                  <c:v>149.28161788073419</c:v>
                </c:pt>
                <c:pt idx="2">
                  <c:v>179.34976632110119</c:v>
                </c:pt>
                <c:pt idx="3">
                  <c:v>209.41791476146841</c:v>
                </c:pt>
                <c:pt idx="4">
                  <c:v>239.48606320183538</c:v>
                </c:pt>
                <c:pt idx="5">
                  <c:v>269.55421164220263</c:v>
                </c:pt>
                <c:pt idx="6">
                  <c:v>299.62236008256878</c:v>
                </c:pt>
                <c:pt idx="7">
                  <c:v>329.69050852293572</c:v>
                </c:pt>
                <c:pt idx="8">
                  <c:v>359.7586569633055</c:v>
                </c:pt>
                <c:pt idx="9">
                  <c:v>389.82680540367238</c:v>
                </c:pt>
                <c:pt idx="10">
                  <c:v>419.89495384403943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52-4FD9-93E9-B06BF966CDC1}"/>
            </c:ext>
          </c:extLst>
        </c:ser>
        <c:ser>
          <c:idx val="8"/>
          <c:order val="8"/>
          <c:tx>
            <c:strRef>
              <c:f>'PHEV and BEV volumes'!$J$8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volumes'!$J$9:$J$19</c:f>
              <c:numCache>
                <c:formatCode>0</c:formatCode>
                <c:ptCount val="11"/>
                <c:pt idx="0">
                  <c:v>103.10354113761468</c:v>
                </c:pt>
                <c:pt idx="1">
                  <c:v>129.10842627522956</c:v>
                </c:pt>
                <c:pt idx="2">
                  <c:v>155.1133114128443</c:v>
                </c:pt>
                <c:pt idx="3">
                  <c:v>181.11819655045917</c:v>
                </c:pt>
                <c:pt idx="4">
                  <c:v>207.12308168807388</c:v>
                </c:pt>
                <c:pt idx="5">
                  <c:v>233.12796682568879</c:v>
                </c:pt>
                <c:pt idx="6">
                  <c:v>259.13285196330276</c:v>
                </c:pt>
                <c:pt idx="7">
                  <c:v>285.13773710091738</c:v>
                </c:pt>
                <c:pt idx="8">
                  <c:v>311.14262223853444</c:v>
                </c:pt>
                <c:pt idx="9">
                  <c:v>337.14750737614918</c:v>
                </c:pt>
                <c:pt idx="10">
                  <c:v>363.15239251376386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52-4FD9-93E9-B06BF966CDC1}"/>
            </c:ext>
          </c:extLst>
        </c:ser>
        <c:ser>
          <c:idx val="9"/>
          <c:order val="9"/>
          <c:tx>
            <c:strRef>
              <c:f>'PHEV and BEV volumes'!$K$8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volumes'!$K$9:$K$19</c:f>
              <c:numCache>
                <c:formatCode>0</c:formatCode>
                <c:ptCount val="11"/>
                <c:pt idx="0">
                  <c:v>80.549641513761472</c:v>
                </c:pt>
                <c:pt idx="1">
                  <c:v>100.86595802752308</c:v>
                </c:pt>
                <c:pt idx="2">
                  <c:v>121.1822745412846</c:v>
                </c:pt>
                <c:pt idx="3">
                  <c:v>141.49859105504623</c:v>
                </c:pt>
                <c:pt idx="4">
                  <c:v>161.81490756880771</c:v>
                </c:pt>
                <c:pt idx="5">
                  <c:v>182.13122408256936</c:v>
                </c:pt>
                <c:pt idx="6">
                  <c:v>202.44754059633024</c:v>
                </c:pt>
                <c:pt idx="7">
                  <c:v>222.76385711009169</c:v>
                </c:pt>
                <c:pt idx="8">
                  <c:v>243.08017362385505</c:v>
                </c:pt>
                <c:pt idx="9">
                  <c:v>263.39649013761652</c:v>
                </c:pt>
                <c:pt idx="10">
                  <c:v>283.712806651378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F52-4FD9-93E9-B06BF966CDC1}"/>
            </c:ext>
          </c:extLst>
        </c:ser>
        <c:ser>
          <c:idx val="10"/>
          <c:order val="10"/>
          <c:tx>
            <c:strRef>
              <c:f>'PHEV and BEV volumes'!$L$8</c:f>
              <c:strCache>
                <c:ptCount val="1"/>
                <c:pt idx="0">
                  <c:v>Northampton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volumes'!$L$9:$L$19</c:f>
              <c:numCache>
                <c:formatCode>0</c:formatCode>
                <c:ptCount val="11"/>
                <c:pt idx="0">
                  <c:v>74.10567019266054</c:v>
                </c:pt>
                <c:pt idx="1">
                  <c:v>92.79668138532125</c:v>
                </c:pt>
                <c:pt idx="2">
                  <c:v>111.48769257798182</c:v>
                </c:pt>
                <c:pt idx="3">
                  <c:v>130.17870377064253</c:v>
                </c:pt>
                <c:pt idx="4">
                  <c:v>148.8697149633031</c:v>
                </c:pt>
                <c:pt idx="5">
                  <c:v>167.56072615596378</c:v>
                </c:pt>
                <c:pt idx="6">
                  <c:v>186.25173734862383</c:v>
                </c:pt>
                <c:pt idx="7">
                  <c:v>204.94274854128435</c:v>
                </c:pt>
                <c:pt idx="8">
                  <c:v>223.63375973394662</c:v>
                </c:pt>
                <c:pt idx="9">
                  <c:v>242.32477092660719</c:v>
                </c:pt>
                <c:pt idx="10">
                  <c:v>261.01578211926773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52-4FD9-93E9-B06BF966CDC1}"/>
            </c:ext>
          </c:extLst>
        </c:ser>
        <c:ser>
          <c:idx val="11"/>
          <c:order val="11"/>
          <c:tx>
            <c:strRef>
              <c:f>'PHEV and BEV volumes'!$M$8</c:f>
              <c:strCache>
                <c:ptCount val="1"/>
                <c:pt idx="0">
                  <c:v>Mansfield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volumes'!$M$9:$M$19</c:f>
              <c:numCache>
                <c:formatCode>0</c:formatCode>
                <c:ptCount val="11"/>
                <c:pt idx="0">
                  <c:v>61.217727550458712</c:v>
                </c:pt>
                <c:pt idx="1">
                  <c:v>76.658128100917551</c:v>
                </c:pt>
                <c:pt idx="2">
                  <c:v>92.098528651376284</c:v>
                </c:pt>
                <c:pt idx="3">
                  <c:v>107.53892920183513</c:v>
                </c:pt>
                <c:pt idx="4">
                  <c:v>122.97932975229385</c:v>
                </c:pt>
                <c:pt idx="5">
                  <c:v>138.4197303027527</c:v>
                </c:pt>
                <c:pt idx="6">
                  <c:v>153.86013085321099</c:v>
                </c:pt>
                <c:pt idx="7">
                  <c:v>169.30053140366971</c:v>
                </c:pt>
                <c:pt idx="8">
                  <c:v>184.74093195412982</c:v>
                </c:pt>
                <c:pt idx="9">
                  <c:v>200.18133250458854</c:v>
                </c:pt>
                <c:pt idx="10">
                  <c:v>215.62173305504726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F52-4FD9-93E9-B06BF966CDC1}"/>
            </c:ext>
          </c:extLst>
        </c:ser>
        <c:ser>
          <c:idx val="12"/>
          <c:order val="12"/>
          <c:tx>
            <c:strRef>
              <c:f>'PHEV and BEV volumes'!$N$8</c:f>
              <c:strCache>
                <c:ptCount val="1"/>
                <c:pt idx="0">
                  <c:v>Shotts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volumes'!$N$9:$N$19</c:f>
              <c:numCache>
                <c:formatCode>0</c:formatCode>
                <c:ptCount val="11"/>
                <c:pt idx="0">
                  <c:v>57.995741889908253</c:v>
                </c:pt>
                <c:pt idx="1">
                  <c:v>72.623489779816623</c:v>
                </c:pt>
                <c:pt idx="2">
                  <c:v>87.251237669724901</c:v>
                </c:pt>
                <c:pt idx="3">
                  <c:v>101.87898555963328</c:v>
                </c:pt>
                <c:pt idx="4">
                  <c:v>116.50673344954156</c:v>
                </c:pt>
                <c:pt idx="5">
                  <c:v>131.13448133944993</c:v>
                </c:pt>
                <c:pt idx="6">
                  <c:v>145.76222922935779</c:v>
                </c:pt>
                <c:pt idx="7">
                  <c:v>160.38997711926604</c:v>
                </c:pt>
                <c:pt idx="8">
                  <c:v>175.01772500917562</c:v>
                </c:pt>
                <c:pt idx="9">
                  <c:v>189.64547289908387</c:v>
                </c:pt>
                <c:pt idx="10">
                  <c:v>204.27322078899215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52-4FD9-93E9-B06BF966CDC1}"/>
            </c:ext>
          </c:extLst>
        </c:ser>
        <c:ser>
          <c:idx val="13"/>
          <c:order val="13"/>
          <c:tx>
            <c:strRef>
              <c:f>'PHEV and BEV volumes'!$O$8</c:f>
              <c:strCache>
                <c:ptCount val="1"/>
                <c:pt idx="0">
                  <c:v>ManheimOnline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volumes'!$O$9:$O$19</c:f>
              <c:numCache>
                <c:formatCode>0</c:formatCode>
                <c:ptCount val="11"/>
                <c:pt idx="0">
                  <c:v>38.663827926605506</c:v>
                </c:pt>
                <c:pt idx="1">
                  <c:v>48.415659853211082</c:v>
                </c:pt>
                <c:pt idx="2">
                  <c:v>58.167491779816608</c:v>
                </c:pt>
                <c:pt idx="3">
                  <c:v>67.91932370642219</c:v>
                </c:pt>
                <c:pt idx="4">
                  <c:v>77.671155633027695</c:v>
                </c:pt>
                <c:pt idx="5">
                  <c:v>87.422987559633299</c:v>
                </c:pt>
                <c:pt idx="6">
                  <c:v>97.174819486238519</c:v>
                </c:pt>
                <c:pt idx="7">
                  <c:v>106.92665141284402</c:v>
                </c:pt>
                <c:pt idx="8">
                  <c:v>116.67848333945041</c:v>
                </c:pt>
                <c:pt idx="9">
                  <c:v>126.43031526605593</c:v>
                </c:pt>
                <c:pt idx="10">
                  <c:v>136.18214719266143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F52-4FD9-93E9-B06BF966CDC1}"/>
            </c:ext>
          </c:extLst>
        </c:ser>
        <c:ser>
          <c:idx val="14"/>
          <c:order val="14"/>
          <c:tx>
            <c:strRef>
              <c:f>'PHEV and BEV volumes'!$P$8</c:f>
              <c:strCache>
                <c:ptCount val="1"/>
                <c:pt idx="0">
                  <c:v>Birmingham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volumes'!$P$9:$P$19</c:f>
              <c:numCache>
                <c:formatCode>0</c:formatCode>
                <c:ptCount val="11"/>
                <c:pt idx="0">
                  <c:v>32.219856605504589</c:v>
                </c:pt>
                <c:pt idx="1">
                  <c:v>40.34638321100924</c:v>
                </c:pt>
                <c:pt idx="2">
                  <c:v>48.472909816513841</c:v>
                </c:pt>
                <c:pt idx="3">
                  <c:v>56.599436422018499</c:v>
                </c:pt>
                <c:pt idx="4">
                  <c:v>64.725963027523079</c:v>
                </c:pt>
                <c:pt idx="5">
                  <c:v>72.852489633027744</c:v>
                </c:pt>
                <c:pt idx="6">
                  <c:v>80.979016238532097</c:v>
                </c:pt>
                <c:pt idx="7">
                  <c:v>89.105542844036677</c:v>
                </c:pt>
                <c:pt idx="8">
                  <c:v>97.23206944954201</c:v>
                </c:pt>
                <c:pt idx="9">
                  <c:v>105.3585960550466</c:v>
                </c:pt>
                <c:pt idx="10">
                  <c:v>113.48512266055121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52-4FD9-93E9-B06BF966CDC1}"/>
            </c:ext>
          </c:extLst>
        </c:ser>
        <c:ser>
          <c:idx val="15"/>
          <c:order val="15"/>
          <c:tx>
            <c:strRef>
              <c:f>'PHEV and BEV volumes'!$Q$8</c:f>
              <c:strCache>
                <c:ptCount val="1"/>
                <c:pt idx="0">
                  <c:v>Gloucester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volumes'!$Q$9:$Q$19</c:f>
              <c:numCache>
                <c:formatCode>0</c:formatCode>
                <c:ptCount val="11"/>
                <c:pt idx="0">
                  <c:v>12.887942642201835</c:v>
                </c:pt>
                <c:pt idx="1">
                  <c:v>16.138553284403695</c:v>
                </c:pt>
                <c:pt idx="2">
                  <c:v>19.389163926605537</c:v>
                </c:pt>
                <c:pt idx="3">
                  <c:v>22.639774568807397</c:v>
                </c:pt>
                <c:pt idx="4">
                  <c:v>25.890385211009235</c:v>
                </c:pt>
                <c:pt idx="5">
                  <c:v>29.140995853211098</c:v>
                </c:pt>
                <c:pt idx="6">
                  <c:v>32.391606495412844</c:v>
                </c:pt>
                <c:pt idx="7">
                  <c:v>35.642217137614672</c:v>
                </c:pt>
                <c:pt idx="8">
                  <c:v>38.892827779816805</c:v>
                </c:pt>
                <c:pt idx="9">
                  <c:v>42.143438422018647</c:v>
                </c:pt>
                <c:pt idx="10">
                  <c:v>45.394049064220482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52-4FD9-93E9-B06BF966CDC1}"/>
            </c:ext>
          </c:extLst>
        </c:ser>
        <c:ser>
          <c:idx val="16"/>
          <c:order val="16"/>
          <c:tx>
            <c:strRef>
              <c:f>'PHEV and BEV volumes'!$R$8</c:f>
              <c:strCache>
                <c:ptCount val="1"/>
                <c:pt idx="0">
                  <c:v>Haydock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volumes'!$A$9:$A$19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volumes'!$R$9:$R$19</c:f>
              <c:numCache>
                <c:formatCode>0</c:formatCode>
                <c:ptCount val="11"/>
                <c:pt idx="0">
                  <c:v>9.6659569816513766</c:v>
                </c:pt>
                <c:pt idx="1">
                  <c:v>12.103914963302771</c:v>
                </c:pt>
                <c:pt idx="2">
                  <c:v>14.541872944954152</c:v>
                </c:pt>
                <c:pt idx="3">
                  <c:v>16.979830926605548</c:v>
                </c:pt>
                <c:pt idx="4">
                  <c:v>19.417788908256924</c:v>
                </c:pt>
                <c:pt idx="5">
                  <c:v>21.855746889908325</c:v>
                </c:pt>
                <c:pt idx="6">
                  <c:v>24.29370487155963</c:v>
                </c:pt>
                <c:pt idx="7">
                  <c:v>26.731662853211006</c:v>
                </c:pt>
                <c:pt idx="8">
                  <c:v>29.169620834862602</c:v>
                </c:pt>
                <c:pt idx="9">
                  <c:v>31.607578816513982</c:v>
                </c:pt>
                <c:pt idx="10">
                  <c:v>34.045536798165358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52-4FD9-93E9-B06BF966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820607"/>
        <c:axId val="1886821023"/>
      </c:lineChart>
      <c:catAx>
        <c:axId val="188682060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21023"/>
        <c:crosses val="autoZero"/>
        <c:auto val="1"/>
        <c:lblAlgn val="ctr"/>
        <c:lblOffset val="100"/>
        <c:noMultiLvlLbl val="0"/>
      </c:catAx>
      <c:valAx>
        <c:axId val="18868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PHEV</a:t>
            </a:r>
            <a:r>
              <a:rPr lang="en-GB" baseline="0"/>
              <a:t> - upper bound values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'PHEV and BEV volumes'!$B$22</c:f>
              <c:strCache>
                <c:ptCount val="1"/>
                <c:pt idx="0">
                  <c:v>Brunting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volumes'!$B$23:$B$33</c:f>
              <c:numCache>
                <c:formatCode>0</c:formatCode>
                <c:ptCount val="11"/>
                <c:pt idx="0">
                  <c:v>632.49150821007208</c:v>
                </c:pt>
                <c:pt idx="1">
                  <c:v>867.74557500503465</c:v>
                </c:pt>
                <c:pt idx="2">
                  <c:v>1130.2499312677664</c:v>
                </c:pt>
                <c:pt idx="3">
                  <c:v>1414.54901096963</c:v>
                </c:pt>
                <c:pt idx="4">
                  <c:v>1717.563282033746</c:v>
                </c:pt>
                <c:pt idx="5">
                  <c:v>2037.240350630894</c:v>
                </c:pt>
                <c:pt idx="6">
                  <c:v>2372.0849776217037</c:v>
                </c:pt>
                <c:pt idx="7">
                  <c:v>2720.9446920388336</c:v>
                </c:pt>
                <c:pt idx="8">
                  <c:v>3082.895818515346</c:v>
                </c:pt>
                <c:pt idx="9">
                  <c:v>3457.1764513992098</c:v>
                </c:pt>
                <c:pt idx="10">
                  <c:v>3843.1440852695268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3-4BBC-92F2-5F1D66B0DC50}"/>
            </c:ext>
          </c:extLst>
        </c:ser>
        <c:ser>
          <c:idx val="1"/>
          <c:order val="1"/>
          <c:tx>
            <c:strRef>
              <c:f>'PHEV and BEV volumes'!$C$22</c:f>
              <c:strCache>
                <c:ptCount val="1"/>
                <c:pt idx="0">
                  <c:v>Bristol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volumes'!$C$23:$C$33</c:f>
              <c:numCache>
                <c:formatCode>0</c:formatCode>
                <c:ptCount val="11"/>
                <c:pt idx="0">
                  <c:v>402.18210032923065</c:v>
                </c:pt>
                <c:pt idx="1">
                  <c:v>551.7730014977667</c:v>
                </c:pt>
                <c:pt idx="2">
                  <c:v>718.69153238222123</c:v>
                </c:pt>
                <c:pt idx="3">
                  <c:v>899.46866458394959</c:v>
                </c:pt>
                <c:pt idx="4">
                  <c:v>1092.1462173801538</c:v>
                </c:pt>
                <c:pt idx="5">
                  <c:v>1295.4191359989925</c:v>
                </c:pt>
                <c:pt idx="6">
                  <c:v>1508.3366433790184</c:v>
                </c:pt>
                <c:pt idx="7">
                  <c:v>1730.1659183073023</c:v>
                </c:pt>
                <c:pt idx="8">
                  <c:v>1960.3196237298669</c:v>
                </c:pt>
                <c:pt idx="9">
                  <c:v>2198.3132870310196</c:v>
                </c:pt>
                <c:pt idx="10">
                  <c:v>2443.7383585681232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3-4BBC-92F2-5F1D66B0DC50}"/>
            </c:ext>
          </c:extLst>
        </c:ser>
        <c:ser>
          <c:idx val="2"/>
          <c:order val="2"/>
          <c:tx>
            <c:strRef>
              <c:f>'PHEV and BEV volumes'!$D$22</c:f>
              <c:strCache>
                <c:ptCount val="1"/>
                <c:pt idx="0">
                  <c:v>Vehicle Solutions Leeds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volumes'!$D$23:$D$33</c:f>
              <c:numCache>
                <c:formatCode>0</c:formatCode>
                <c:ptCount val="11"/>
                <c:pt idx="0">
                  <c:v>388.43228493335954</c:v>
                </c:pt>
                <c:pt idx="1">
                  <c:v>532.90896725852679</c:v>
                </c:pt>
                <c:pt idx="2">
                  <c:v>694.12088170248705</c:v>
                </c:pt>
                <c:pt idx="3">
                  <c:v>868.71759912808807</c:v>
                </c:pt>
                <c:pt idx="4">
                  <c:v>1054.8078851620289</c:v>
                </c:pt>
                <c:pt idx="5">
                  <c:v>1251.1313022896252</c:v>
                </c:pt>
                <c:pt idx="6">
                  <c:v>1456.7695786481117</c:v>
                </c:pt>
                <c:pt idx="7">
                  <c:v>1671.0149467412405</c:v>
                </c:pt>
                <c:pt idx="8">
                  <c:v>1893.3001494143159</c:v>
                </c:pt>
                <c:pt idx="9">
                  <c:v>2123.1572772179929</c:v>
                </c:pt>
                <c:pt idx="10">
                  <c:v>2360.1917480187853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D3-4BBC-92F2-5F1D66B0DC50}"/>
            </c:ext>
          </c:extLst>
        </c:ser>
        <c:ser>
          <c:idx val="3"/>
          <c:order val="3"/>
          <c:tx>
            <c:strRef>
              <c:f>'PHEV and BEV volumes'!$E$22</c:f>
              <c:strCache>
                <c:ptCount val="1"/>
                <c:pt idx="0">
                  <c:v>Leeds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volumes'!$E$23:$E$33</c:f>
              <c:numCache>
                <c:formatCode>0</c:formatCode>
                <c:ptCount val="11"/>
                <c:pt idx="0">
                  <c:v>340.30793104781054</c:v>
                </c:pt>
                <c:pt idx="1">
                  <c:v>466.8848474211872</c:v>
                </c:pt>
                <c:pt idx="2">
                  <c:v>608.12360432341791</c:v>
                </c:pt>
                <c:pt idx="3">
                  <c:v>761.08887003257269</c:v>
                </c:pt>
                <c:pt idx="4">
                  <c:v>924.12372239859178</c:v>
                </c:pt>
                <c:pt idx="5">
                  <c:v>1096.1238843068397</c:v>
                </c:pt>
                <c:pt idx="6">
                  <c:v>1276.2848520899386</c:v>
                </c:pt>
                <c:pt idx="7">
                  <c:v>1463.9865462600251</c:v>
                </c:pt>
                <c:pt idx="8">
                  <c:v>1658.7319893098872</c:v>
                </c:pt>
                <c:pt idx="9">
                  <c:v>1860.1112428724011</c:v>
                </c:pt>
                <c:pt idx="10">
                  <c:v>2067.7786110961042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D3-4BBC-92F2-5F1D66B0DC50}"/>
            </c:ext>
          </c:extLst>
        </c:ser>
        <c:ser>
          <c:idx val="4"/>
          <c:order val="4"/>
          <c:tx>
            <c:strRef>
              <c:f>'PHEV and BEV volumes'!$F$22</c:f>
              <c:strCache>
                <c:ptCount val="1"/>
                <c:pt idx="0">
                  <c:v>Colchester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volumes'!$F$23:$F$33</c:f>
              <c:numCache>
                <c:formatCode>0</c:formatCode>
                <c:ptCount val="11"/>
                <c:pt idx="0">
                  <c:v>292.1835771622616</c:v>
                </c:pt>
                <c:pt idx="1">
                  <c:v>400.86072758384756</c:v>
                </c:pt>
                <c:pt idx="2">
                  <c:v>522.12632694434865</c:v>
                </c:pt>
                <c:pt idx="3">
                  <c:v>653.46014093705742</c:v>
                </c:pt>
                <c:pt idx="4">
                  <c:v>793.43955963515441</c:v>
                </c:pt>
                <c:pt idx="5">
                  <c:v>941.11646632405416</c:v>
                </c:pt>
                <c:pt idx="6">
                  <c:v>1095.8001255317654</c:v>
                </c:pt>
                <c:pt idx="7">
                  <c:v>1256.958145778809</c:v>
                </c:pt>
                <c:pt idx="8">
                  <c:v>1424.1638292054588</c:v>
                </c:pt>
                <c:pt idx="9">
                  <c:v>1597.0652085268086</c:v>
                </c:pt>
                <c:pt idx="10">
                  <c:v>1775.3654741734226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D3-4BBC-92F2-5F1D66B0DC50}"/>
            </c:ext>
          </c:extLst>
        </c:ser>
        <c:ser>
          <c:idx val="5"/>
          <c:order val="5"/>
          <c:tx>
            <c:strRef>
              <c:f>'PHEV and BEV volumes'!$G$22</c:f>
              <c:strCache>
                <c:ptCount val="1"/>
                <c:pt idx="0">
                  <c:v>Wimbledon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volumes'!$G$23:$G$33</c:f>
              <c:numCache>
                <c:formatCode>0</c:formatCode>
                <c:ptCount val="11"/>
                <c:pt idx="0">
                  <c:v>161.56033090148583</c:v>
                </c:pt>
                <c:pt idx="1">
                  <c:v>221.65240231106864</c:v>
                </c:pt>
                <c:pt idx="2">
                  <c:v>288.7051454868751</c:v>
                </c:pt>
                <c:pt idx="3">
                  <c:v>361.32501910637291</c:v>
                </c:pt>
                <c:pt idx="4">
                  <c:v>438.72540356296776</c:v>
                </c:pt>
                <c:pt idx="5">
                  <c:v>520.38204608506533</c:v>
                </c:pt>
                <c:pt idx="6">
                  <c:v>605.91301058815259</c:v>
                </c:pt>
                <c:pt idx="7">
                  <c:v>695.02391590122397</c:v>
                </c:pt>
                <c:pt idx="8">
                  <c:v>787.47882320772419</c:v>
                </c:pt>
                <c:pt idx="9">
                  <c:v>883.083115303059</c:v>
                </c:pt>
                <c:pt idx="10">
                  <c:v>981.67267395471606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D3-4BBC-92F2-5F1D66B0DC50}"/>
            </c:ext>
          </c:extLst>
        </c:ser>
        <c:ser>
          <c:idx val="6"/>
          <c:order val="6"/>
          <c:tx>
            <c:strRef>
              <c:f>'PHEV and BEV volumes'!$H$22</c:f>
              <c:strCache>
                <c:ptCount val="1"/>
                <c:pt idx="0">
                  <c:v>Vehicle Solutions Coventry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volumes'!$H$23:$H$33</c:f>
              <c:numCache>
                <c:formatCode>0</c:formatCode>
                <c:ptCount val="11"/>
                <c:pt idx="0">
                  <c:v>151.24796935458247</c:v>
                </c:pt>
                <c:pt idx="1">
                  <c:v>207.50437663163876</c:v>
                </c:pt>
                <c:pt idx="2">
                  <c:v>270.27715747707464</c:v>
                </c:pt>
                <c:pt idx="3">
                  <c:v>338.26172001447679</c:v>
                </c:pt>
                <c:pt idx="4">
                  <c:v>410.72165439937407</c:v>
                </c:pt>
                <c:pt idx="5">
                  <c:v>487.1661708030399</c:v>
                </c:pt>
                <c:pt idx="6">
                  <c:v>567.23771203997273</c:v>
                </c:pt>
                <c:pt idx="7">
                  <c:v>650.66068722667774</c:v>
                </c:pt>
                <c:pt idx="8">
                  <c:v>737.21421747106103</c:v>
                </c:pt>
                <c:pt idx="9">
                  <c:v>826.71610794328944</c:v>
                </c:pt>
                <c:pt idx="10">
                  <c:v>919.01271604271301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D3-4BBC-92F2-5F1D66B0DC50}"/>
            </c:ext>
          </c:extLst>
        </c:ser>
        <c:ser>
          <c:idx val="7"/>
          <c:order val="7"/>
          <c:tx>
            <c:strRef>
              <c:f>'PHEV and BEV volumes'!$I$22</c:f>
              <c:strCache>
                <c:ptCount val="1"/>
                <c:pt idx="0">
                  <c:v>Manchester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volumes'!$I$23:$I$33</c:f>
              <c:numCache>
                <c:formatCode>0</c:formatCode>
                <c:ptCount val="11"/>
                <c:pt idx="0">
                  <c:v>127.18579241180798</c:v>
                </c:pt>
                <c:pt idx="1">
                  <c:v>174.49231671296894</c:v>
                </c:pt>
                <c:pt idx="2">
                  <c:v>227.27851878753998</c:v>
                </c:pt>
                <c:pt idx="3">
                  <c:v>284.4473554667191</c:v>
                </c:pt>
                <c:pt idx="4">
                  <c:v>345.3795730176555</c:v>
                </c:pt>
                <c:pt idx="5">
                  <c:v>409.66246181164718</c:v>
                </c:pt>
                <c:pt idx="6">
                  <c:v>476.99534876088615</c:v>
                </c:pt>
                <c:pt idx="7">
                  <c:v>547.14648698606982</c:v>
                </c:pt>
                <c:pt idx="8">
                  <c:v>619.9301374188467</c:v>
                </c:pt>
                <c:pt idx="9">
                  <c:v>695.19309077049331</c:v>
                </c:pt>
                <c:pt idx="10">
                  <c:v>772.80614758137222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D3-4BBC-92F2-5F1D66B0DC50}"/>
            </c:ext>
          </c:extLst>
        </c:ser>
        <c:ser>
          <c:idx val="8"/>
          <c:order val="8"/>
          <c:tx>
            <c:strRef>
              <c:f>'PHEV and BEV volumes'!$J$22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volumes'!$J$23:$J$33</c:f>
              <c:numCache>
                <c:formatCode>0</c:formatCode>
                <c:ptCount val="11"/>
                <c:pt idx="0">
                  <c:v>109.99852316696906</c:v>
                </c:pt>
                <c:pt idx="1">
                  <c:v>150.91227391391908</c:v>
                </c:pt>
                <c:pt idx="2">
                  <c:v>196.56520543787246</c:v>
                </c:pt>
                <c:pt idx="3">
                  <c:v>246.0085236468922</c:v>
                </c:pt>
                <c:pt idx="4">
                  <c:v>298.70665774499935</c:v>
                </c:pt>
                <c:pt idx="5">
                  <c:v>354.3026696749381</c:v>
                </c:pt>
                <c:pt idx="6">
                  <c:v>412.53651784725292</c:v>
                </c:pt>
                <c:pt idx="7">
                  <c:v>473.20777252849291</c:v>
                </c:pt>
                <c:pt idx="8">
                  <c:v>536.15579452440807</c:v>
                </c:pt>
                <c:pt idx="9">
                  <c:v>601.24807850421041</c:v>
                </c:pt>
                <c:pt idx="10">
                  <c:v>668.37288439470035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D3-4BBC-92F2-5F1D66B0DC50}"/>
            </c:ext>
          </c:extLst>
        </c:ser>
        <c:ser>
          <c:idx val="9"/>
          <c:order val="9"/>
          <c:tx>
            <c:strRef>
              <c:f>'PHEV and BEV volumes'!$K$22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volumes'!$K$23:$K$33</c:f>
              <c:numCache>
                <c:formatCode>0</c:formatCode>
                <c:ptCount val="11"/>
                <c:pt idx="0">
                  <c:v>85.93634622419458</c:v>
                </c:pt>
                <c:pt idx="1">
                  <c:v>117.90021399524929</c:v>
                </c:pt>
                <c:pt idx="2">
                  <c:v>153.56656674833783</c:v>
                </c:pt>
                <c:pt idx="3">
                  <c:v>192.19415909913451</c:v>
                </c:pt>
                <c:pt idx="4">
                  <c:v>233.36457636328072</c:v>
                </c:pt>
                <c:pt idx="5">
                  <c:v>276.79896068354537</c:v>
                </c:pt>
                <c:pt idx="6">
                  <c:v>322.29415456816628</c:v>
                </c:pt>
                <c:pt idx="7">
                  <c:v>369.69357228788505</c:v>
                </c:pt>
                <c:pt idx="8">
                  <c:v>418.87171447219379</c:v>
                </c:pt>
                <c:pt idx="9">
                  <c:v>469.72506133141439</c:v>
                </c:pt>
                <c:pt idx="10">
                  <c:v>522.16631593335967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3D3-4BBC-92F2-5F1D66B0DC50}"/>
            </c:ext>
          </c:extLst>
        </c:ser>
        <c:ser>
          <c:idx val="10"/>
          <c:order val="10"/>
          <c:tx>
            <c:strRef>
              <c:f>'PHEV and BEV volumes'!$L$22</c:f>
              <c:strCache>
                <c:ptCount val="1"/>
                <c:pt idx="0">
                  <c:v>Northampton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volumes'!$L$23:$L$33</c:f>
              <c:numCache>
                <c:formatCode>0</c:formatCode>
                <c:ptCount val="11"/>
                <c:pt idx="0">
                  <c:v>79.06143852625901</c:v>
                </c:pt>
                <c:pt idx="1">
                  <c:v>108.46819687562933</c:v>
                </c:pt>
                <c:pt idx="2">
                  <c:v>141.28124140847081</c:v>
                </c:pt>
                <c:pt idx="3">
                  <c:v>176.81862637120375</c:v>
                </c:pt>
                <c:pt idx="4">
                  <c:v>214.69541025421825</c:v>
                </c:pt>
                <c:pt idx="5">
                  <c:v>254.65504382886175</c:v>
                </c:pt>
                <c:pt idx="6">
                  <c:v>296.51062220271297</c:v>
                </c:pt>
                <c:pt idx="7">
                  <c:v>340.1180865048542</c:v>
                </c:pt>
                <c:pt idx="8">
                  <c:v>385.36197731441825</c:v>
                </c:pt>
                <c:pt idx="9">
                  <c:v>432.14705642490122</c:v>
                </c:pt>
                <c:pt idx="10">
                  <c:v>480.39301065869086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D3-4BBC-92F2-5F1D66B0DC50}"/>
            </c:ext>
          </c:extLst>
        </c:ser>
        <c:ser>
          <c:idx val="11"/>
          <c:order val="11"/>
          <c:tx>
            <c:strRef>
              <c:f>'PHEV and BEV volumes'!$M$22</c:f>
              <c:strCache>
                <c:ptCount val="1"/>
                <c:pt idx="0">
                  <c:v>Mansfield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volumes'!$M$23:$M$33</c:f>
              <c:numCache>
                <c:formatCode>0</c:formatCode>
                <c:ptCount val="11"/>
                <c:pt idx="0">
                  <c:v>65.311623130387886</c:v>
                </c:pt>
                <c:pt idx="1">
                  <c:v>89.604162636389447</c:v>
                </c:pt>
                <c:pt idx="2">
                  <c:v>116.71059072873675</c:v>
                </c:pt>
                <c:pt idx="3">
                  <c:v>146.06756091534223</c:v>
                </c:pt>
                <c:pt idx="4">
                  <c:v>177.35707803609333</c:v>
                </c:pt>
                <c:pt idx="5">
                  <c:v>210.36721011949447</c:v>
                </c:pt>
                <c:pt idx="6">
                  <c:v>244.94355747180637</c:v>
                </c:pt>
                <c:pt idx="7">
                  <c:v>280.96711493879263</c:v>
                </c:pt>
                <c:pt idx="8">
                  <c:v>318.34250299886725</c:v>
                </c:pt>
                <c:pt idx="9">
                  <c:v>356.99104661187494</c:v>
                </c:pt>
                <c:pt idx="10">
                  <c:v>396.84640010935328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3D3-4BBC-92F2-5F1D66B0DC50}"/>
            </c:ext>
          </c:extLst>
        </c:ser>
        <c:ser>
          <c:idx val="12"/>
          <c:order val="12"/>
          <c:tx>
            <c:strRef>
              <c:f>'PHEV and BEV volumes'!$N$22</c:f>
              <c:strCache>
                <c:ptCount val="1"/>
                <c:pt idx="0">
                  <c:v>Shotts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volumes'!$N$23:$N$33</c:f>
              <c:numCache>
                <c:formatCode>0</c:formatCode>
                <c:ptCount val="11"/>
                <c:pt idx="0">
                  <c:v>61.874169281420087</c:v>
                </c:pt>
                <c:pt idx="1">
                  <c:v>84.888154076579482</c:v>
                </c:pt>
                <c:pt idx="2">
                  <c:v>110.56792805880325</c:v>
                </c:pt>
                <c:pt idx="3">
                  <c:v>138.37979455137685</c:v>
                </c:pt>
                <c:pt idx="4">
                  <c:v>168.02249498156212</c:v>
                </c:pt>
                <c:pt idx="5">
                  <c:v>199.29525169215268</c:v>
                </c:pt>
                <c:pt idx="6">
                  <c:v>232.05179128907974</c:v>
                </c:pt>
                <c:pt idx="7">
                  <c:v>266.17937204727718</c:v>
                </c:pt>
                <c:pt idx="8">
                  <c:v>301.58763441997945</c:v>
                </c:pt>
                <c:pt idx="9">
                  <c:v>338.20204415861832</c:v>
                </c:pt>
                <c:pt idx="10">
                  <c:v>375.95974747201888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D3-4BBC-92F2-5F1D66B0DC50}"/>
            </c:ext>
          </c:extLst>
        </c:ser>
        <c:ser>
          <c:idx val="13"/>
          <c:order val="13"/>
          <c:tx>
            <c:strRef>
              <c:f>'PHEV and BEV volumes'!$O$22</c:f>
              <c:strCache>
                <c:ptCount val="1"/>
                <c:pt idx="0">
                  <c:v>ManheimOnline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volumes'!$O$23:$O$33</c:f>
              <c:numCache>
                <c:formatCode>0</c:formatCode>
                <c:ptCount val="11"/>
                <c:pt idx="0">
                  <c:v>41.249446187613394</c:v>
                </c:pt>
                <c:pt idx="1">
                  <c:v>56.592102717719655</c:v>
                </c:pt>
                <c:pt idx="2">
                  <c:v>73.71195203920216</c:v>
                </c:pt>
                <c:pt idx="3">
                  <c:v>92.253196367584565</c:v>
                </c:pt>
                <c:pt idx="4">
                  <c:v>112.01499665437476</c:v>
                </c:pt>
                <c:pt idx="5">
                  <c:v>132.86350112810177</c:v>
                </c:pt>
                <c:pt idx="6">
                  <c:v>154.70119419271984</c:v>
                </c:pt>
                <c:pt idx="7">
                  <c:v>177.45291469818483</c:v>
                </c:pt>
                <c:pt idx="8">
                  <c:v>201.058422946653</c:v>
                </c:pt>
                <c:pt idx="9">
                  <c:v>225.46802943907889</c:v>
                </c:pt>
                <c:pt idx="10">
                  <c:v>250.63983164801263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3D3-4BBC-92F2-5F1D66B0DC50}"/>
            </c:ext>
          </c:extLst>
        </c:ser>
        <c:ser>
          <c:idx val="14"/>
          <c:order val="14"/>
          <c:tx>
            <c:strRef>
              <c:f>'PHEV and BEV volumes'!$P$22</c:f>
              <c:strCache>
                <c:ptCount val="1"/>
                <c:pt idx="0">
                  <c:v>Birmingham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volumes'!$P$23:$P$33</c:f>
              <c:numCache>
                <c:formatCode>0</c:formatCode>
                <c:ptCount val="11"/>
                <c:pt idx="0">
                  <c:v>34.374538489677832</c:v>
                </c:pt>
                <c:pt idx="1">
                  <c:v>47.160085598099712</c:v>
                </c:pt>
                <c:pt idx="2">
                  <c:v>61.426626699335138</c:v>
                </c:pt>
                <c:pt idx="3">
                  <c:v>76.877663639653804</c:v>
                </c:pt>
                <c:pt idx="4">
                  <c:v>93.345830545312296</c:v>
                </c:pt>
                <c:pt idx="5">
                  <c:v>110.71958427341815</c:v>
                </c:pt>
                <c:pt idx="6">
                  <c:v>128.91766182726653</c:v>
                </c:pt>
                <c:pt idx="7">
                  <c:v>147.87742891515404</c:v>
                </c:pt>
                <c:pt idx="8">
                  <c:v>167.54868578887749</c:v>
                </c:pt>
                <c:pt idx="9">
                  <c:v>187.89002453256577</c:v>
                </c:pt>
                <c:pt idx="10">
                  <c:v>208.86652637334385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D3-4BBC-92F2-5F1D66B0DC50}"/>
            </c:ext>
          </c:extLst>
        </c:ser>
        <c:ser>
          <c:idx val="15"/>
          <c:order val="15"/>
          <c:tx>
            <c:strRef>
              <c:f>'PHEV and BEV volumes'!$Q$22</c:f>
              <c:strCache>
                <c:ptCount val="1"/>
                <c:pt idx="0">
                  <c:v>Gloucester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volumes'!$Q$23:$Q$33</c:f>
              <c:numCache>
                <c:formatCode>0</c:formatCode>
                <c:ptCount val="11"/>
                <c:pt idx="0">
                  <c:v>13.749815395871133</c:v>
                </c:pt>
                <c:pt idx="1">
                  <c:v>18.864034239239885</c:v>
                </c:pt>
                <c:pt idx="2">
                  <c:v>24.570650679734058</c:v>
                </c:pt>
                <c:pt idx="3">
                  <c:v>30.751065455861525</c:v>
                </c:pt>
                <c:pt idx="4">
                  <c:v>37.338332218124918</c:v>
                </c:pt>
                <c:pt idx="5">
                  <c:v>44.287833709367263</c:v>
                </c:pt>
                <c:pt idx="6">
                  <c:v>51.567064730906615</c:v>
                </c:pt>
                <c:pt idx="7">
                  <c:v>59.150971566061614</c:v>
                </c:pt>
                <c:pt idx="8">
                  <c:v>67.019474315551008</c:v>
                </c:pt>
                <c:pt idx="9">
                  <c:v>75.156009813026301</c:v>
                </c:pt>
                <c:pt idx="10">
                  <c:v>83.546610549337544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3D3-4BBC-92F2-5F1D66B0DC50}"/>
            </c:ext>
          </c:extLst>
        </c:ser>
        <c:ser>
          <c:idx val="16"/>
          <c:order val="16"/>
          <c:tx>
            <c:strRef>
              <c:f>'PHEV and BEV volumes'!$R$22</c:f>
              <c:strCache>
                <c:ptCount val="1"/>
                <c:pt idx="0">
                  <c:v>Haydock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volumes'!$A$23:$A$33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volumes'!$R$23:$R$33</c:f>
              <c:numCache>
                <c:formatCode>0</c:formatCode>
                <c:ptCount val="11"/>
                <c:pt idx="0">
                  <c:v>10.312361546903348</c:v>
                </c:pt>
                <c:pt idx="1">
                  <c:v>14.148025679429914</c:v>
                </c:pt>
                <c:pt idx="2">
                  <c:v>18.42798800980054</c:v>
                </c:pt>
                <c:pt idx="3">
                  <c:v>23.063299091896141</c:v>
                </c:pt>
                <c:pt idx="4">
                  <c:v>28.003749163593689</c:v>
                </c:pt>
                <c:pt idx="5">
                  <c:v>33.215875282025443</c:v>
                </c:pt>
                <c:pt idx="6">
                  <c:v>38.67529854817996</c:v>
                </c:pt>
                <c:pt idx="7">
                  <c:v>44.363228674546207</c:v>
                </c:pt>
                <c:pt idx="8">
                  <c:v>50.264605736663249</c:v>
                </c:pt>
                <c:pt idx="9">
                  <c:v>56.367007359769723</c:v>
                </c:pt>
                <c:pt idx="10">
                  <c:v>62.659957912003158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D3-4BBC-92F2-5F1D66B0D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30927"/>
        <c:axId val="1041128015"/>
      </c:lineChart>
      <c:catAx>
        <c:axId val="104113092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28015"/>
        <c:crosses val="autoZero"/>
        <c:auto val="1"/>
        <c:lblAlgn val="ctr"/>
        <c:lblOffset val="100"/>
        <c:noMultiLvlLbl val="0"/>
      </c:catAx>
      <c:valAx>
        <c:axId val="10411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BEV</a:t>
            </a:r>
            <a:r>
              <a:rPr lang="en-GB" baseline="0"/>
              <a:t> mid values volume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'PHEV and BEV volumes'!$B$36</c:f>
              <c:strCache>
                <c:ptCount val="1"/>
                <c:pt idx="0">
                  <c:v>Brunting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volumes'!$B$37:$B$47</c:f>
              <c:numCache>
                <c:formatCode>0</c:formatCode>
                <c:ptCount val="11"/>
                <c:pt idx="0">
                  <c:v>913.89212431868725</c:v>
                </c:pt>
                <c:pt idx="1">
                  <c:v>1385.0399433898449</c:v>
                </c:pt>
                <c:pt idx="2">
                  <c:v>1904.2776318389247</c:v>
                </c:pt>
                <c:pt idx="3">
                  <c:v>2452.34024103607</c:v>
                </c:pt>
                <c:pt idx="4">
                  <c:v>3017.680641261235</c:v>
                </c:pt>
                <c:pt idx="5">
                  <c:v>3593.3774339981096</c:v>
                </c:pt>
                <c:pt idx="6">
                  <c:v>4175.2818991904551</c:v>
                </c:pt>
                <c:pt idx="7">
                  <c:v>4760.9072736946873</c:v>
                </c:pt>
                <c:pt idx="8">
                  <c:v>5348.762979487622</c:v>
                </c:pt>
                <c:pt idx="9">
                  <c:v>5937.9555567924399</c:v>
                </c:pt>
                <c:pt idx="10">
                  <c:v>6527.9494614374216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E-4185-AC70-00CE680F780F}"/>
            </c:ext>
          </c:extLst>
        </c:ser>
        <c:ser>
          <c:idx val="1"/>
          <c:order val="1"/>
          <c:tx>
            <c:strRef>
              <c:f>'PHEV and BEV volumes'!$C$36</c:f>
              <c:strCache>
                <c:ptCount val="1"/>
                <c:pt idx="0">
                  <c:v>Bristol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volumes'!$C$37:$C$47</c:f>
              <c:numCache>
                <c:formatCode>0</c:formatCode>
                <c:ptCount val="11"/>
                <c:pt idx="0">
                  <c:v>581.11618774612191</c:v>
                </c:pt>
                <c:pt idx="1">
                  <c:v>880.70474661202093</c:v>
                </c:pt>
                <c:pt idx="2">
                  <c:v>1210.8721898106207</c:v>
                </c:pt>
                <c:pt idx="3">
                  <c:v>1559.3685228327186</c:v>
                </c:pt>
                <c:pt idx="4">
                  <c:v>1918.8512773237205</c:v>
                </c:pt>
                <c:pt idx="5">
                  <c:v>2284.9193466183638</c:v>
                </c:pt>
                <c:pt idx="6">
                  <c:v>2654.934685898279</c:v>
                </c:pt>
                <c:pt idx="7">
                  <c:v>3027.3160381645571</c:v>
                </c:pt>
                <c:pt idx="8">
                  <c:v>3401.1155902176729</c:v>
                </c:pt>
                <c:pt idx="9">
                  <c:v>3775.7652181778021</c:v>
                </c:pt>
                <c:pt idx="10">
                  <c:v>4150.9243858053178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E-4185-AC70-00CE680F780F}"/>
            </c:ext>
          </c:extLst>
        </c:ser>
        <c:ser>
          <c:idx val="2"/>
          <c:order val="2"/>
          <c:tx>
            <c:strRef>
              <c:f>'PHEV and BEV volumes'!$D$36</c:f>
              <c:strCache>
                <c:ptCount val="1"/>
                <c:pt idx="0">
                  <c:v>Vehicle Solutions Leeds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volumes'!$D$37:$D$47</c:f>
              <c:numCache>
                <c:formatCode>0</c:formatCode>
                <c:ptCount val="11"/>
                <c:pt idx="0">
                  <c:v>561.2489676522373</c:v>
                </c:pt>
                <c:pt idx="1">
                  <c:v>850.59518262528525</c:v>
                </c:pt>
                <c:pt idx="2">
                  <c:v>1169.4748499880354</c:v>
                </c:pt>
                <c:pt idx="3">
                  <c:v>1506.056778462369</c:v>
                </c:pt>
                <c:pt idx="4">
                  <c:v>1853.2495242528239</c:v>
                </c:pt>
                <c:pt idx="5">
                  <c:v>2206.8024458792743</c:v>
                </c:pt>
                <c:pt idx="6">
                  <c:v>2564.1676880897908</c:v>
                </c:pt>
                <c:pt idx="7">
                  <c:v>2923.8180539538025</c:v>
                </c:pt>
                <c:pt idx="8">
                  <c:v>3284.8381341418549</c:v>
                </c:pt>
                <c:pt idx="9">
                  <c:v>3646.6792278127486</c:v>
                </c:pt>
                <c:pt idx="10">
                  <c:v>4009.0124409914606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E-4185-AC70-00CE680F780F}"/>
            </c:ext>
          </c:extLst>
        </c:ser>
        <c:ser>
          <c:idx val="3"/>
          <c:order val="3"/>
          <c:tx>
            <c:strRef>
              <c:f>'PHEV and BEV volumes'!$E$36</c:f>
              <c:strCache>
                <c:ptCount val="1"/>
                <c:pt idx="0">
                  <c:v>Leeds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volumes'!$E$37:$E$47</c:f>
              <c:numCache>
                <c:formatCode>0</c:formatCode>
                <c:ptCount val="11"/>
                <c:pt idx="0">
                  <c:v>491.71369732364155</c:v>
                </c:pt>
                <c:pt idx="1">
                  <c:v>745.21170867171008</c:v>
                </c:pt>
                <c:pt idx="2">
                  <c:v>1024.5841606089868</c:v>
                </c:pt>
                <c:pt idx="3">
                  <c:v>1319.4656731661464</c:v>
                </c:pt>
                <c:pt idx="4">
                  <c:v>1623.6433885046865</c:v>
                </c:pt>
                <c:pt idx="5">
                  <c:v>1933.3932932924615</c:v>
                </c:pt>
                <c:pt idx="6">
                  <c:v>2246.4831957600823</c:v>
                </c:pt>
                <c:pt idx="7">
                  <c:v>2561.5751092161636</c:v>
                </c:pt>
                <c:pt idx="8">
                  <c:v>2877.8670378764923</c:v>
                </c:pt>
                <c:pt idx="9">
                  <c:v>3194.8782615350633</c:v>
                </c:pt>
                <c:pt idx="10">
                  <c:v>3512.3206341429614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E-4185-AC70-00CE680F780F}"/>
            </c:ext>
          </c:extLst>
        </c:ser>
        <c:ser>
          <c:idx val="4"/>
          <c:order val="4"/>
          <c:tx>
            <c:strRef>
              <c:f>'PHEV and BEV volumes'!$F$36</c:f>
              <c:strCache>
                <c:ptCount val="1"/>
                <c:pt idx="0">
                  <c:v>Colchester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volumes'!$F$37:$F$47</c:f>
              <c:numCache>
                <c:formatCode>0</c:formatCode>
                <c:ptCount val="11"/>
                <c:pt idx="0">
                  <c:v>422.17842699504575</c:v>
                </c:pt>
                <c:pt idx="1">
                  <c:v>639.82823471813481</c:v>
                </c:pt>
                <c:pt idx="2">
                  <c:v>879.69347122993815</c:v>
                </c:pt>
                <c:pt idx="3">
                  <c:v>1132.8745678699236</c:v>
                </c:pt>
                <c:pt idx="4">
                  <c:v>1394.0372527565489</c:v>
                </c:pt>
                <c:pt idx="5">
                  <c:v>1659.9841407056488</c:v>
                </c:pt>
                <c:pt idx="6">
                  <c:v>1928.7987034303735</c:v>
                </c:pt>
                <c:pt idx="7">
                  <c:v>2199.3321644785237</c:v>
                </c:pt>
                <c:pt idx="8">
                  <c:v>2470.8959416111297</c:v>
                </c:pt>
                <c:pt idx="9">
                  <c:v>2743.077295257377</c:v>
                </c:pt>
                <c:pt idx="10">
                  <c:v>3015.6288272944612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E-4185-AC70-00CE680F780F}"/>
            </c:ext>
          </c:extLst>
        </c:ser>
        <c:ser>
          <c:idx val="5"/>
          <c:order val="5"/>
          <c:tx>
            <c:strRef>
              <c:f>'PHEV and BEV volumes'!$G$36</c:f>
              <c:strCache>
                <c:ptCount val="1"/>
                <c:pt idx="0">
                  <c:v>Wimbledon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volumes'!$G$37:$G$47</c:f>
              <c:numCache>
                <c:formatCode>0</c:formatCode>
                <c:ptCount val="11"/>
                <c:pt idx="0">
                  <c:v>233.43983610314297</c:v>
                </c:pt>
                <c:pt idx="1">
                  <c:v>353.78737684414517</c:v>
                </c:pt>
                <c:pt idx="2">
                  <c:v>486.41874291537761</c:v>
                </c:pt>
                <c:pt idx="3">
                  <c:v>626.41299635160476</c:v>
                </c:pt>
                <c:pt idx="4">
                  <c:v>770.82059858303296</c:v>
                </c:pt>
                <c:pt idx="5">
                  <c:v>917.87358368429977</c:v>
                </c:pt>
                <c:pt idx="6">
                  <c:v>1066.5122242497359</c:v>
                </c:pt>
                <c:pt idx="7">
                  <c:v>1216.1013144763604</c:v>
                </c:pt>
                <c:pt idx="8">
                  <c:v>1366.26010889086</c:v>
                </c:pt>
                <c:pt idx="9">
                  <c:v>1516.7603867893733</c:v>
                </c:pt>
                <c:pt idx="10">
                  <c:v>1667.4653515628199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7E-4185-AC70-00CE680F780F}"/>
            </c:ext>
          </c:extLst>
        </c:ser>
        <c:ser>
          <c:idx val="6"/>
          <c:order val="6"/>
          <c:tx>
            <c:strRef>
              <c:f>'PHEV and BEV volumes'!$H$36</c:f>
              <c:strCache>
                <c:ptCount val="1"/>
                <c:pt idx="0">
                  <c:v>Vehicle Solutions Coventry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volumes'!$H$37:$H$47</c:f>
              <c:numCache>
                <c:formatCode>0</c:formatCode>
                <c:ptCount val="11"/>
                <c:pt idx="0">
                  <c:v>218.53942103272959</c:v>
                </c:pt>
                <c:pt idx="1">
                  <c:v>331.20520385409344</c:v>
                </c:pt>
                <c:pt idx="2">
                  <c:v>455.37073804843862</c:v>
                </c:pt>
                <c:pt idx="3">
                  <c:v>586.42918807384285</c:v>
                </c:pt>
                <c:pt idx="4">
                  <c:v>721.61928377986067</c:v>
                </c:pt>
                <c:pt idx="5">
                  <c:v>859.28590812998289</c:v>
                </c:pt>
                <c:pt idx="6">
                  <c:v>998.43697589337</c:v>
                </c:pt>
                <c:pt idx="7">
                  <c:v>1138.4778263182948</c:v>
                </c:pt>
                <c:pt idx="8">
                  <c:v>1279.0520168339965</c:v>
                </c:pt>
                <c:pt idx="9">
                  <c:v>1419.9458940155837</c:v>
                </c:pt>
                <c:pt idx="10">
                  <c:v>1561.0313929524273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7E-4185-AC70-00CE680F780F}"/>
            </c:ext>
          </c:extLst>
        </c:ser>
        <c:ser>
          <c:idx val="7"/>
          <c:order val="7"/>
          <c:tx>
            <c:strRef>
              <c:f>'PHEV and BEV volumes'!$I$36</c:f>
              <c:strCache>
                <c:ptCount val="1"/>
                <c:pt idx="0">
                  <c:v>Manchester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volumes'!$I$37:$I$47</c:f>
              <c:numCache>
                <c:formatCode>0</c:formatCode>
                <c:ptCount val="11"/>
                <c:pt idx="0">
                  <c:v>183.77178586843169</c:v>
                </c:pt>
                <c:pt idx="1">
                  <c:v>278.51346687730575</c:v>
                </c:pt>
                <c:pt idx="2">
                  <c:v>382.92539335891422</c:v>
                </c:pt>
                <c:pt idx="3">
                  <c:v>493.13363542573148</c:v>
                </c:pt>
                <c:pt idx="4">
                  <c:v>606.81621590579186</c:v>
                </c:pt>
                <c:pt idx="5">
                  <c:v>722.5813318365764</c:v>
                </c:pt>
                <c:pt idx="6">
                  <c:v>839.59472972851552</c:v>
                </c:pt>
                <c:pt idx="7">
                  <c:v>957.35635394947519</c:v>
                </c:pt>
                <c:pt idx="8">
                  <c:v>1075.5664687013152</c:v>
                </c:pt>
                <c:pt idx="9">
                  <c:v>1194.0454108767406</c:v>
                </c:pt>
                <c:pt idx="10">
                  <c:v>1312.6854895281772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7E-4185-AC70-00CE680F780F}"/>
            </c:ext>
          </c:extLst>
        </c:ser>
        <c:ser>
          <c:idx val="8"/>
          <c:order val="8"/>
          <c:tx>
            <c:strRef>
              <c:f>'PHEV and BEV volumes'!$J$36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volumes'!$J$37:$J$47</c:f>
              <c:numCache>
                <c:formatCode>0</c:formatCode>
                <c:ptCount val="11"/>
                <c:pt idx="0">
                  <c:v>158.93776075107607</c:v>
                </c:pt>
                <c:pt idx="1">
                  <c:v>240.87651189388609</c:v>
                </c:pt>
                <c:pt idx="2">
                  <c:v>331.17871858068264</c:v>
                </c:pt>
                <c:pt idx="3">
                  <c:v>426.49395496279482</c:v>
                </c:pt>
                <c:pt idx="4">
                  <c:v>524.81402456717149</c:v>
                </c:pt>
                <c:pt idx="5">
                  <c:v>624.93520591271476</c:v>
                </c:pt>
                <c:pt idx="6">
                  <c:v>726.13598246790536</c:v>
                </c:pt>
                <c:pt idx="7">
                  <c:v>827.98387368603255</c:v>
                </c:pt>
                <c:pt idx="8">
                  <c:v>930.21964860654305</c:v>
                </c:pt>
                <c:pt idx="9">
                  <c:v>1032.6879229204244</c:v>
                </c:pt>
                <c:pt idx="10">
                  <c:v>1135.2955585108562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7E-4185-AC70-00CE680F780F}"/>
            </c:ext>
          </c:extLst>
        </c:ser>
        <c:ser>
          <c:idx val="9"/>
          <c:order val="9"/>
          <c:tx>
            <c:strRef>
              <c:f>'PHEV and BEV volumes'!$K$36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volumes'!$K$37:$K$47</c:f>
              <c:numCache>
                <c:formatCode>0</c:formatCode>
                <c:ptCount val="11"/>
                <c:pt idx="0">
                  <c:v>124.17012558677816</c:v>
                </c:pt>
                <c:pt idx="1">
                  <c:v>188.18477491709851</c:v>
                </c:pt>
                <c:pt idx="2">
                  <c:v>258.73337389115829</c:v>
                </c:pt>
                <c:pt idx="3">
                  <c:v>333.19840231468339</c:v>
                </c:pt>
                <c:pt idx="4">
                  <c:v>410.01095669310263</c:v>
                </c:pt>
                <c:pt idx="5">
                  <c:v>488.23062961930844</c:v>
                </c:pt>
                <c:pt idx="6">
                  <c:v>567.29373630305099</c:v>
                </c:pt>
                <c:pt idx="7">
                  <c:v>646.86240131721297</c:v>
                </c:pt>
                <c:pt idx="8">
                  <c:v>726.73410047386164</c:v>
                </c:pt>
                <c:pt idx="9">
                  <c:v>806.78743978158161</c:v>
                </c:pt>
                <c:pt idx="10">
                  <c:v>886.94965508660641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7E-4185-AC70-00CE680F780F}"/>
            </c:ext>
          </c:extLst>
        </c:ser>
        <c:ser>
          <c:idx val="10"/>
          <c:order val="10"/>
          <c:tx>
            <c:strRef>
              <c:f>'PHEV and BEV volumes'!$L$36</c:f>
              <c:strCache>
                <c:ptCount val="1"/>
                <c:pt idx="0">
                  <c:v>Northampton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volumes'!$L$37:$L$47</c:f>
              <c:numCache>
                <c:formatCode>0</c:formatCode>
                <c:ptCount val="11"/>
                <c:pt idx="0">
                  <c:v>114.23651553983591</c:v>
                </c:pt>
                <c:pt idx="1">
                  <c:v>173.12999292373061</c:v>
                </c:pt>
                <c:pt idx="2">
                  <c:v>238.03470397986558</c:v>
                </c:pt>
                <c:pt idx="3">
                  <c:v>306.54253012950875</c:v>
                </c:pt>
                <c:pt idx="4">
                  <c:v>377.21008015765437</c:v>
                </c:pt>
                <c:pt idx="5">
                  <c:v>449.1721792497637</c:v>
                </c:pt>
                <c:pt idx="6">
                  <c:v>521.91023739880688</c:v>
                </c:pt>
                <c:pt idx="7">
                  <c:v>595.11340921183591</c:v>
                </c:pt>
                <c:pt idx="8">
                  <c:v>668.59537243595275</c:v>
                </c:pt>
                <c:pt idx="9">
                  <c:v>742.24444459905499</c:v>
                </c:pt>
                <c:pt idx="10">
                  <c:v>815.9936826796777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E-4185-AC70-00CE680F780F}"/>
            </c:ext>
          </c:extLst>
        </c:ser>
        <c:ser>
          <c:idx val="11"/>
          <c:order val="11"/>
          <c:tx>
            <c:strRef>
              <c:f>'PHEV and BEV volumes'!$M$36</c:f>
              <c:strCache>
                <c:ptCount val="1"/>
                <c:pt idx="0">
                  <c:v>Mansfield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volumes'!$M$37:$M$47</c:f>
              <c:numCache>
                <c:formatCode>0</c:formatCode>
                <c:ptCount val="11"/>
                <c:pt idx="0">
                  <c:v>94.369295445951408</c:v>
                </c:pt>
                <c:pt idx="1">
                  <c:v>143.02042893699485</c:v>
                </c:pt>
                <c:pt idx="2">
                  <c:v>196.63736415728027</c:v>
                </c:pt>
                <c:pt idx="3">
                  <c:v>253.2307857591594</c:v>
                </c:pt>
                <c:pt idx="4">
                  <c:v>311.60832708675798</c:v>
                </c:pt>
                <c:pt idx="5">
                  <c:v>371.05527851067438</c:v>
                </c:pt>
                <c:pt idx="6">
                  <c:v>431.14323959031879</c:v>
                </c:pt>
                <c:pt idx="7">
                  <c:v>491.6154250010818</c:v>
                </c:pt>
                <c:pt idx="8">
                  <c:v>552.31791636013486</c:v>
                </c:pt>
                <c:pt idx="9">
                  <c:v>613.15845423400197</c:v>
                </c:pt>
                <c:pt idx="10">
                  <c:v>674.08173786582074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7E-4185-AC70-00CE680F780F}"/>
            </c:ext>
          </c:extLst>
        </c:ser>
        <c:ser>
          <c:idx val="12"/>
          <c:order val="12"/>
          <c:tx>
            <c:strRef>
              <c:f>'PHEV and BEV volumes'!$N$36</c:f>
              <c:strCache>
                <c:ptCount val="1"/>
                <c:pt idx="0">
                  <c:v>Shotts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volumes'!$N$37:$N$47</c:f>
              <c:numCache>
                <c:formatCode>0</c:formatCode>
                <c:ptCount val="11"/>
                <c:pt idx="0">
                  <c:v>89.402490422480284</c:v>
                </c:pt>
                <c:pt idx="1">
                  <c:v>135.49303794031093</c:v>
                </c:pt>
                <c:pt idx="2">
                  <c:v>186.28802920163395</c:v>
                </c:pt>
                <c:pt idx="3">
                  <c:v>239.90284966657202</c:v>
                </c:pt>
                <c:pt idx="4">
                  <c:v>295.20788881903388</c:v>
                </c:pt>
                <c:pt idx="5">
                  <c:v>351.52605332590201</c:v>
                </c:pt>
                <c:pt idx="6">
                  <c:v>408.45149013819673</c:v>
                </c:pt>
                <c:pt idx="7">
                  <c:v>465.74092894839328</c:v>
                </c:pt>
                <c:pt idx="8">
                  <c:v>523.24855234118036</c:v>
                </c:pt>
                <c:pt idx="9">
                  <c:v>580.88695664273871</c:v>
                </c:pt>
                <c:pt idx="10">
                  <c:v>638.60375166235644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7E-4185-AC70-00CE680F780F}"/>
            </c:ext>
          </c:extLst>
        </c:ser>
        <c:ser>
          <c:idx val="13"/>
          <c:order val="13"/>
          <c:tx>
            <c:strRef>
              <c:f>'PHEV and BEV volumes'!$O$36</c:f>
              <c:strCache>
                <c:ptCount val="1"/>
                <c:pt idx="0">
                  <c:v>ManheimOnline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volumes'!$O$37:$O$47</c:f>
              <c:numCache>
                <c:formatCode>0</c:formatCode>
                <c:ptCount val="11"/>
                <c:pt idx="0">
                  <c:v>59.601660281653523</c:v>
                </c:pt>
                <c:pt idx="1">
                  <c:v>90.328691960207266</c:v>
                </c:pt>
                <c:pt idx="2">
                  <c:v>124.19201946775598</c:v>
                </c:pt>
                <c:pt idx="3">
                  <c:v>159.93523311104803</c:v>
                </c:pt>
                <c:pt idx="4">
                  <c:v>196.80525921268926</c:v>
                </c:pt>
                <c:pt idx="5">
                  <c:v>234.35070221726804</c:v>
                </c:pt>
                <c:pt idx="6">
                  <c:v>272.30099342546453</c:v>
                </c:pt>
                <c:pt idx="7">
                  <c:v>310.49395263226216</c:v>
                </c:pt>
                <c:pt idx="8">
                  <c:v>348.83236822745363</c:v>
                </c:pt>
                <c:pt idx="9">
                  <c:v>387.25797109515918</c:v>
                </c:pt>
                <c:pt idx="10">
                  <c:v>425.735834441571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37E-4185-AC70-00CE680F780F}"/>
            </c:ext>
          </c:extLst>
        </c:ser>
        <c:ser>
          <c:idx val="14"/>
          <c:order val="14"/>
          <c:tx>
            <c:strRef>
              <c:f>'PHEV and BEV volumes'!$P$36</c:f>
              <c:strCache>
                <c:ptCount val="1"/>
                <c:pt idx="0">
                  <c:v>Birmingham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volumes'!$P$37:$P$47</c:f>
              <c:numCache>
                <c:formatCode>0</c:formatCode>
                <c:ptCount val="11"/>
                <c:pt idx="0">
                  <c:v>49.668050234711266</c:v>
                </c:pt>
                <c:pt idx="1">
                  <c:v>75.273909966839398</c:v>
                </c:pt>
                <c:pt idx="2">
                  <c:v>103.49334955646331</c:v>
                </c:pt>
                <c:pt idx="3">
                  <c:v>133.27936092587336</c:v>
                </c:pt>
                <c:pt idx="4">
                  <c:v>164.00438267724104</c:v>
                </c:pt>
                <c:pt idx="5">
                  <c:v>195.29225184772338</c:v>
                </c:pt>
                <c:pt idx="6">
                  <c:v>226.91749452122042</c:v>
                </c:pt>
                <c:pt idx="7">
                  <c:v>258.74496052688517</c:v>
                </c:pt>
                <c:pt idx="8">
                  <c:v>290.69364018954468</c:v>
                </c:pt>
                <c:pt idx="9">
                  <c:v>322.71497591263261</c:v>
                </c:pt>
                <c:pt idx="10">
                  <c:v>354.77986203464252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7E-4185-AC70-00CE680F780F}"/>
            </c:ext>
          </c:extLst>
        </c:ser>
        <c:ser>
          <c:idx val="15"/>
          <c:order val="15"/>
          <c:tx>
            <c:strRef>
              <c:f>'PHEV and BEV volumes'!$Q$36</c:f>
              <c:strCache>
                <c:ptCount val="1"/>
                <c:pt idx="0">
                  <c:v>Gloucester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volumes'!$Q$37:$Q$47</c:f>
              <c:numCache>
                <c:formatCode>0</c:formatCode>
                <c:ptCount val="11"/>
                <c:pt idx="0">
                  <c:v>19.867220093884509</c:v>
                </c:pt>
                <c:pt idx="1">
                  <c:v>30.109563986735761</c:v>
                </c:pt>
                <c:pt idx="2">
                  <c:v>41.39733982258533</c:v>
                </c:pt>
                <c:pt idx="3">
                  <c:v>53.311744370349352</c:v>
                </c:pt>
                <c:pt idx="4">
                  <c:v>65.601753070896436</c:v>
                </c:pt>
                <c:pt idx="5">
                  <c:v>78.116900739089346</c:v>
                </c:pt>
                <c:pt idx="6">
                  <c:v>90.766997808488171</c:v>
                </c:pt>
                <c:pt idx="7">
                  <c:v>103.49798421075407</c:v>
                </c:pt>
                <c:pt idx="8">
                  <c:v>116.27745607581788</c:v>
                </c:pt>
                <c:pt idx="9">
                  <c:v>129.08599036505305</c:v>
                </c:pt>
                <c:pt idx="10">
                  <c:v>141.91194481385702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37E-4185-AC70-00CE680F780F}"/>
            </c:ext>
          </c:extLst>
        </c:ser>
        <c:ser>
          <c:idx val="16"/>
          <c:order val="16"/>
          <c:tx>
            <c:strRef>
              <c:f>'PHEV and BEV volumes'!$R$36</c:f>
              <c:strCache>
                <c:ptCount val="1"/>
                <c:pt idx="0">
                  <c:v>Haydock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volumes'!$A$37:$A$47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volumes'!$R$37:$R$47</c:f>
              <c:numCache>
                <c:formatCode>0</c:formatCode>
                <c:ptCount val="11"/>
                <c:pt idx="0">
                  <c:v>14.900415070413381</c:v>
                </c:pt>
                <c:pt idx="1">
                  <c:v>22.582172990051816</c:v>
                </c:pt>
                <c:pt idx="2">
                  <c:v>31.048004866938996</c:v>
                </c:pt>
                <c:pt idx="3">
                  <c:v>39.983808277762009</c:v>
                </c:pt>
                <c:pt idx="4">
                  <c:v>49.201314803172316</c:v>
                </c:pt>
                <c:pt idx="5">
                  <c:v>58.587675554317009</c:v>
                </c:pt>
                <c:pt idx="6">
                  <c:v>68.075248356366131</c:v>
                </c:pt>
                <c:pt idx="7">
                  <c:v>77.623488158065541</c:v>
                </c:pt>
                <c:pt idx="8">
                  <c:v>87.208092056863407</c:v>
                </c:pt>
                <c:pt idx="9">
                  <c:v>96.814492773789794</c:v>
                </c:pt>
                <c:pt idx="10">
                  <c:v>106.43395861039275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7E-4185-AC70-00CE680F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58159"/>
        <c:axId val="1370759407"/>
      </c:lineChart>
      <c:catAx>
        <c:axId val="137075815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59407"/>
        <c:crosses val="autoZero"/>
        <c:auto val="1"/>
        <c:lblAlgn val="ctr"/>
        <c:lblOffset val="100"/>
        <c:noMultiLvlLbl val="0"/>
      </c:catAx>
      <c:valAx>
        <c:axId val="13707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BEV upper bound values volume</a:t>
            </a:r>
            <a:r>
              <a:rPr lang="en-GB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'PHEV and BEV volumes'!$B$50</c:f>
              <c:strCache>
                <c:ptCount val="1"/>
                <c:pt idx="0">
                  <c:v>Brunting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volumes'!$B$51:$B$61</c:f>
              <c:numCache>
                <c:formatCode>0</c:formatCode>
                <c:ptCount val="11"/>
                <c:pt idx="0">
                  <c:v>963.04716357619691</c:v>
                </c:pt>
                <c:pt idx="1">
                  <c:v>1556.9387474427092</c:v>
                </c:pt>
                <c:pt idx="2">
                  <c:v>2274.3772630058261</c:v>
                </c:pt>
                <c:pt idx="3">
                  <c:v>3089.6959077754605</c:v>
                </c:pt>
                <c:pt idx="4">
                  <c:v>3984.3730512863972</c:v>
                </c:pt>
                <c:pt idx="5">
                  <c:v>4945.1117826234477</c:v>
                </c:pt>
                <c:pt idx="6">
                  <c:v>5962.3010811638869</c:v>
                </c:pt>
                <c:pt idx="7">
                  <c:v>7028.8957838584738</c:v>
                </c:pt>
                <c:pt idx="8">
                  <c:v>8139.6344132190734</c:v>
                </c:pt>
                <c:pt idx="9">
                  <c:v>9290.502623387416</c:v>
                </c:pt>
                <c:pt idx="10">
                  <c:v>10478.367342705475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6-4F94-9C7A-5FF4FD2E0AF9}"/>
            </c:ext>
          </c:extLst>
        </c:ser>
        <c:ser>
          <c:idx val="1"/>
          <c:order val="1"/>
          <c:tx>
            <c:strRef>
              <c:f>'PHEV and BEV volumes'!$C$50</c:f>
              <c:strCache>
                <c:ptCount val="1"/>
                <c:pt idx="0">
                  <c:v>Bristol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volumes'!$C$51:$C$61</c:f>
              <c:numCache>
                <c:formatCode>0</c:formatCode>
                <c:ptCount val="11"/>
                <c:pt idx="0">
                  <c:v>612.37238118703829</c:v>
                </c:pt>
                <c:pt idx="1">
                  <c:v>990.00996440650545</c:v>
                </c:pt>
                <c:pt idx="2">
                  <c:v>1446.2072813678353</c:v>
                </c:pt>
                <c:pt idx="3">
                  <c:v>1964.6435935311354</c:v>
                </c:pt>
                <c:pt idx="4">
                  <c:v>2533.5415597853726</c:v>
                </c:pt>
                <c:pt idx="5">
                  <c:v>3144.4460791681713</c:v>
                </c:pt>
                <c:pt idx="6">
                  <c:v>3791.2457961748628</c:v>
                </c:pt>
                <c:pt idx="7">
                  <c:v>4469.4609060404437</c:v>
                </c:pt>
                <c:pt idx="8">
                  <c:v>5175.7457953621288</c:v>
                </c:pt>
                <c:pt idx="9">
                  <c:v>5907.5478637843908</c:v>
                </c:pt>
                <c:pt idx="10">
                  <c:v>6662.8748863942419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6-4F94-9C7A-5FF4FD2E0AF9}"/>
            </c:ext>
          </c:extLst>
        </c:ser>
        <c:ser>
          <c:idx val="2"/>
          <c:order val="2"/>
          <c:tx>
            <c:strRef>
              <c:f>'PHEV and BEV volumes'!$D$50</c:f>
              <c:strCache>
                <c:ptCount val="1"/>
                <c:pt idx="0">
                  <c:v>Vehicle Solutions Leeds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volumes'!$D$51:$D$61</c:f>
              <c:numCache>
                <c:formatCode>0</c:formatCode>
                <c:ptCount val="11"/>
                <c:pt idx="0">
                  <c:v>591.43657328320796</c:v>
                </c:pt>
                <c:pt idx="1">
                  <c:v>956.16346989688145</c:v>
                </c:pt>
                <c:pt idx="2">
                  <c:v>1396.7642973894478</c:v>
                </c:pt>
                <c:pt idx="3">
                  <c:v>1897.4762911881905</c:v>
                </c:pt>
                <c:pt idx="4">
                  <c:v>2446.9247543226247</c:v>
                </c:pt>
                <c:pt idx="5">
                  <c:v>3036.9436491111392</c:v>
                </c:pt>
                <c:pt idx="6">
                  <c:v>3661.6305552799959</c:v>
                </c:pt>
                <c:pt idx="7">
                  <c:v>4316.65882378265</c:v>
                </c:pt>
                <c:pt idx="8">
                  <c:v>4998.7972211617134</c:v>
                </c:pt>
                <c:pt idx="9">
                  <c:v>5705.5804154498819</c:v>
                </c:pt>
                <c:pt idx="10">
                  <c:v>6435.0842919876022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36-4F94-9C7A-5FF4FD2E0AF9}"/>
            </c:ext>
          </c:extLst>
        </c:ser>
        <c:ser>
          <c:idx val="3"/>
          <c:order val="3"/>
          <c:tx>
            <c:strRef>
              <c:f>'PHEV and BEV volumes'!$E$50</c:f>
              <c:strCache>
                <c:ptCount val="1"/>
                <c:pt idx="0">
                  <c:v>Leeds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volumes'!$E$51:$E$61</c:f>
              <c:numCache>
                <c:formatCode>0</c:formatCode>
                <c:ptCount val="11"/>
                <c:pt idx="0">
                  <c:v>518.16124561980166</c:v>
                </c:pt>
                <c:pt idx="1">
                  <c:v>837.70073911319707</c:v>
                </c:pt>
                <c:pt idx="2">
                  <c:v>1223.7138534650915</c:v>
                </c:pt>
                <c:pt idx="3">
                  <c:v>1662.3907329878839</c:v>
                </c:pt>
                <c:pt idx="4">
                  <c:v>2143.7659352030078</c:v>
                </c:pt>
                <c:pt idx="5">
                  <c:v>2660.6851439115294</c:v>
                </c:pt>
                <c:pt idx="6">
                  <c:v>3207.9772121479614</c:v>
                </c:pt>
                <c:pt idx="7">
                  <c:v>3781.8515358803752</c:v>
                </c:pt>
                <c:pt idx="8">
                  <c:v>4379.4772114602629</c:v>
                </c:pt>
                <c:pt idx="9">
                  <c:v>4998.6943462790996</c:v>
                </c:pt>
                <c:pt idx="10">
                  <c:v>5637.8172115643592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36-4F94-9C7A-5FF4FD2E0AF9}"/>
            </c:ext>
          </c:extLst>
        </c:ser>
        <c:ser>
          <c:idx val="4"/>
          <c:order val="4"/>
          <c:tx>
            <c:strRef>
              <c:f>'PHEV and BEV volumes'!$F$50</c:f>
              <c:strCache>
                <c:ptCount val="1"/>
                <c:pt idx="0">
                  <c:v>Colchester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volumes'!$F$51:$F$61</c:f>
              <c:numCache>
                <c:formatCode>0</c:formatCode>
                <c:ptCount val="11"/>
                <c:pt idx="0">
                  <c:v>444.8859179563953</c:v>
                </c:pt>
                <c:pt idx="1">
                  <c:v>719.23800832951247</c:v>
                </c:pt>
                <c:pt idx="2">
                  <c:v>1050.6634095407348</c:v>
                </c:pt>
                <c:pt idx="3">
                  <c:v>1427.3051747875768</c:v>
                </c:pt>
                <c:pt idx="4">
                  <c:v>1840.6071160833901</c:v>
                </c:pt>
                <c:pt idx="5">
                  <c:v>2284.4266387119192</c:v>
                </c:pt>
                <c:pt idx="6">
                  <c:v>2754.323869015926</c:v>
                </c:pt>
                <c:pt idx="7">
                  <c:v>3247.0442479780995</c:v>
                </c:pt>
                <c:pt idx="8">
                  <c:v>3760.157201758811</c:v>
                </c:pt>
                <c:pt idx="9">
                  <c:v>4291.8082771083173</c:v>
                </c:pt>
                <c:pt idx="10">
                  <c:v>4840.5501311411163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36-4F94-9C7A-5FF4FD2E0AF9}"/>
            </c:ext>
          </c:extLst>
        </c:ser>
        <c:ser>
          <c:idx val="5"/>
          <c:order val="5"/>
          <c:tx>
            <c:strRef>
              <c:f>'PHEV and BEV volumes'!$G$50</c:f>
              <c:strCache>
                <c:ptCount val="1"/>
                <c:pt idx="0">
                  <c:v>Wimbledon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volumes'!$G$51:$G$61</c:f>
              <c:numCache>
                <c:formatCode>0</c:formatCode>
                <c:ptCount val="11"/>
                <c:pt idx="0">
                  <c:v>245.99574287000681</c:v>
                </c:pt>
                <c:pt idx="1">
                  <c:v>397.69631048808338</c:v>
                </c:pt>
                <c:pt idx="2">
                  <c:v>580.95506174605339</c:v>
                </c:pt>
                <c:pt idx="3">
                  <c:v>789.21580252960132</c:v>
                </c:pt>
                <c:pt idx="4">
                  <c:v>1017.7474641872864</c:v>
                </c:pt>
                <c:pt idx="5">
                  <c:v>1263.1535531701199</c:v>
                </c:pt>
                <c:pt idx="6">
                  <c:v>1522.9790805146883</c:v>
                </c:pt>
                <c:pt idx="7">
                  <c:v>1795.4244665290669</c:v>
                </c:pt>
                <c:pt idx="8">
                  <c:v>2079.145746854872</c:v>
                </c:pt>
                <c:pt idx="9">
                  <c:v>2373.1175179304814</c:v>
                </c:pt>
                <c:pt idx="10">
                  <c:v>2676.5394842780288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36-4F94-9C7A-5FF4FD2E0AF9}"/>
            </c:ext>
          </c:extLst>
        </c:ser>
        <c:ser>
          <c:idx val="6"/>
          <c:order val="6"/>
          <c:tx>
            <c:strRef>
              <c:f>'PHEV and BEV volumes'!$H$50</c:f>
              <c:strCache>
                <c:ptCount val="1"/>
                <c:pt idx="0">
                  <c:v>Vehicle Solutions Coventry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volumes'!$H$51:$H$61</c:f>
              <c:numCache>
                <c:formatCode>0</c:formatCode>
                <c:ptCount val="11"/>
                <c:pt idx="0">
                  <c:v>230.29388694213404</c:v>
                </c:pt>
                <c:pt idx="1">
                  <c:v>372.3114396058653</c:v>
                </c:pt>
                <c:pt idx="2">
                  <c:v>543.8728237622629</c:v>
                </c:pt>
                <c:pt idx="3">
                  <c:v>738.84032577239282</c:v>
                </c:pt>
                <c:pt idx="4">
                  <c:v>952.78486009022561</c:v>
                </c:pt>
                <c:pt idx="5">
                  <c:v>1182.5267306273463</c:v>
                </c:pt>
                <c:pt idx="6">
                  <c:v>1425.7676498435383</c:v>
                </c:pt>
                <c:pt idx="7">
                  <c:v>1680.8229048357223</c:v>
                </c:pt>
                <c:pt idx="8">
                  <c:v>1946.4343162045614</c:v>
                </c:pt>
                <c:pt idx="9">
                  <c:v>2221.6419316796</c:v>
                </c:pt>
                <c:pt idx="10">
                  <c:v>2505.6965384730483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36-4F94-9C7A-5FF4FD2E0AF9}"/>
            </c:ext>
          </c:extLst>
        </c:ser>
        <c:ser>
          <c:idx val="7"/>
          <c:order val="7"/>
          <c:tx>
            <c:strRef>
              <c:f>'PHEV and BEV volumes'!$I$50</c:f>
              <c:strCache>
                <c:ptCount val="1"/>
                <c:pt idx="0">
                  <c:v>Manchester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volumes'!$I$51:$I$61</c:f>
              <c:numCache>
                <c:formatCode>0</c:formatCode>
                <c:ptCount val="11"/>
                <c:pt idx="0">
                  <c:v>193.65622311043091</c:v>
                </c:pt>
                <c:pt idx="1">
                  <c:v>313.08007421402306</c:v>
                </c:pt>
                <c:pt idx="2">
                  <c:v>457.34760180008459</c:v>
                </c:pt>
                <c:pt idx="3">
                  <c:v>621.29754667223938</c:v>
                </c:pt>
                <c:pt idx="4">
                  <c:v>801.2054505304169</c:v>
                </c:pt>
                <c:pt idx="5">
                  <c:v>994.39747802754118</c:v>
                </c:pt>
                <c:pt idx="6">
                  <c:v>1198.9409782775206</c:v>
                </c:pt>
                <c:pt idx="7">
                  <c:v>1413.4192608845844</c:v>
                </c:pt>
                <c:pt idx="8">
                  <c:v>1636.7743113538352</c:v>
                </c:pt>
                <c:pt idx="9">
                  <c:v>1868.1988970942089</c:v>
                </c:pt>
                <c:pt idx="10">
                  <c:v>2107.0629982614269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36-4F94-9C7A-5FF4FD2E0AF9}"/>
            </c:ext>
          </c:extLst>
        </c:ser>
        <c:ser>
          <c:idx val="8"/>
          <c:order val="8"/>
          <c:tx>
            <c:strRef>
              <c:f>'PHEV and BEV volumes'!$J$50</c:f>
              <c:strCache>
                <c:ptCount val="1"/>
                <c:pt idx="0">
                  <c:v>Plymouth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volumes'!$J$51:$J$61</c:f>
              <c:numCache>
                <c:formatCode>0</c:formatCode>
                <c:ptCount val="11"/>
                <c:pt idx="0">
                  <c:v>167.48646323064295</c:v>
                </c:pt>
                <c:pt idx="1">
                  <c:v>270.77195607699298</c:v>
                </c:pt>
                <c:pt idx="2">
                  <c:v>395.54387182710025</c:v>
                </c:pt>
                <c:pt idx="3">
                  <c:v>537.33841874355846</c:v>
                </c:pt>
                <c:pt idx="4">
                  <c:v>692.93444370198222</c:v>
                </c:pt>
                <c:pt idx="5">
                  <c:v>860.01944045625191</c:v>
                </c:pt>
                <c:pt idx="6">
                  <c:v>1036.9219271589368</c:v>
                </c:pt>
                <c:pt idx="7">
                  <c:v>1222.4166580623435</c:v>
                </c:pt>
                <c:pt idx="8">
                  <c:v>1415.5885936033173</c:v>
                </c:pt>
                <c:pt idx="9">
                  <c:v>1615.7395866760728</c:v>
                </c:pt>
                <c:pt idx="10">
                  <c:v>1822.3247552531261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36-4F94-9C7A-5FF4FD2E0AF9}"/>
            </c:ext>
          </c:extLst>
        </c:ser>
        <c:ser>
          <c:idx val="9"/>
          <c:order val="9"/>
          <c:tx>
            <c:strRef>
              <c:f>'PHEV and BEV volumes'!$K$50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volumes'!$K$51:$K$61</c:f>
              <c:numCache>
                <c:formatCode>0</c:formatCode>
                <c:ptCount val="11"/>
                <c:pt idx="0">
                  <c:v>130.8487993989398</c:v>
                </c:pt>
                <c:pt idx="1">
                  <c:v>211.54059068515073</c:v>
                </c:pt>
                <c:pt idx="2">
                  <c:v>309.01864986492205</c:v>
                </c:pt>
                <c:pt idx="3">
                  <c:v>419.79563964340502</c:v>
                </c:pt>
                <c:pt idx="4">
                  <c:v>541.35503414217362</c:v>
                </c:pt>
                <c:pt idx="5">
                  <c:v>671.89018785644669</c:v>
                </c:pt>
                <c:pt idx="6">
                  <c:v>810.09525559291944</c:v>
                </c:pt>
                <c:pt idx="7">
                  <c:v>955.01301411120585</c:v>
                </c:pt>
                <c:pt idx="8">
                  <c:v>1105.9285887525914</c:v>
                </c:pt>
                <c:pt idx="9">
                  <c:v>1262.2965520906816</c:v>
                </c:pt>
                <c:pt idx="10">
                  <c:v>1423.6912150415048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36-4F94-9C7A-5FF4FD2E0AF9}"/>
            </c:ext>
          </c:extLst>
        </c:ser>
        <c:ser>
          <c:idx val="10"/>
          <c:order val="10"/>
          <c:tx>
            <c:strRef>
              <c:f>'PHEV and BEV volumes'!$L$50</c:f>
              <c:strCache>
                <c:ptCount val="1"/>
                <c:pt idx="0">
                  <c:v>Northampton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volumes'!$L$51:$L$61</c:f>
              <c:numCache>
                <c:formatCode>0</c:formatCode>
                <c:ptCount val="11"/>
                <c:pt idx="0">
                  <c:v>120.38089544702461</c:v>
                </c:pt>
                <c:pt idx="1">
                  <c:v>194.61734343033865</c:v>
                </c:pt>
                <c:pt idx="2">
                  <c:v>284.29715787572826</c:v>
                </c:pt>
                <c:pt idx="3">
                  <c:v>386.21198847193256</c:v>
                </c:pt>
                <c:pt idx="4">
                  <c:v>498.04663141079965</c:v>
                </c:pt>
                <c:pt idx="5">
                  <c:v>618.13897282793096</c:v>
                </c:pt>
                <c:pt idx="6">
                  <c:v>745.28763514548586</c:v>
                </c:pt>
                <c:pt idx="7">
                  <c:v>878.61197298230923</c:v>
                </c:pt>
                <c:pt idx="8">
                  <c:v>1017.4543016523842</c:v>
                </c:pt>
                <c:pt idx="9">
                  <c:v>1161.312827923427</c:v>
                </c:pt>
                <c:pt idx="10">
                  <c:v>1309.7959178381843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36-4F94-9C7A-5FF4FD2E0AF9}"/>
            </c:ext>
          </c:extLst>
        </c:ser>
        <c:ser>
          <c:idx val="11"/>
          <c:order val="11"/>
          <c:tx>
            <c:strRef>
              <c:f>'PHEV and BEV volumes'!$M$50</c:f>
              <c:strCache>
                <c:ptCount val="1"/>
                <c:pt idx="0">
                  <c:v>Mansfield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volumes'!$M$51:$M$61</c:f>
              <c:numCache>
                <c:formatCode>0</c:formatCode>
                <c:ptCount val="11"/>
                <c:pt idx="0">
                  <c:v>99.445087543194234</c:v>
                </c:pt>
                <c:pt idx="1">
                  <c:v>160.77084892071457</c:v>
                </c:pt>
                <c:pt idx="2">
                  <c:v>234.85417389734073</c:v>
                </c:pt>
                <c:pt idx="3">
                  <c:v>319.04468612898779</c:v>
                </c:pt>
                <c:pt idx="4">
                  <c:v>411.42982594805193</c:v>
                </c:pt>
                <c:pt idx="5">
                  <c:v>510.63654277089955</c:v>
                </c:pt>
                <c:pt idx="6">
                  <c:v>615.67239425061871</c:v>
                </c:pt>
                <c:pt idx="7">
                  <c:v>725.80989072451632</c:v>
                </c:pt>
                <c:pt idx="8">
                  <c:v>840.50572745196962</c:v>
                </c:pt>
                <c:pt idx="9">
                  <c:v>959.34537958891804</c:v>
                </c:pt>
                <c:pt idx="10">
                  <c:v>1082.0053234315435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36-4F94-9C7A-5FF4FD2E0AF9}"/>
            </c:ext>
          </c:extLst>
        </c:ser>
        <c:ser>
          <c:idx val="12"/>
          <c:order val="12"/>
          <c:tx>
            <c:strRef>
              <c:f>'PHEV and BEV volumes'!$N$50</c:f>
              <c:strCache>
                <c:ptCount val="1"/>
                <c:pt idx="0">
                  <c:v>Shotts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volumes'!$N$51:$N$61</c:f>
              <c:numCache>
                <c:formatCode>0</c:formatCode>
                <c:ptCount val="11"/>
                <c:pt idx="0">
                  <c:v>94.211135567236653</c:v>
                </c:pt>
                <c:pt idx="1">
                  <c:v>152.30922529330851</c:v>
                </c:pt>
                <c:pt idx="2">
                  <c:v>222.49342790274386</c:v>
                </c:pt>
                <c:pt idx="3">
                  <c:v>302.25286054325153</c:v>
                </c:pt>
                <c:pt idx="4">
                  <c:v>389.77562458236497</c:v>
                </c:pt>
                <c:pt idx="5">
                  <c:v>483.76093525664163</c:v>
                </c:pt>
                <c:pt idx="6">
                  <c:v>583.26858402690186</c:v>
                </c:pt>
                <c:pt idx="7">
                  <c:v>687.60937016006801</c:v>
                </c:pt>
                <c:pt idx="8">
                  <c:v>796.26858390186578</c:v>
                </c:pt>
                <c:pt idx="9">
                  <c:v>908.85351750529082</c:v>
                </c:pt>
                <c:pt idx="10">
                  <c:v>1025.0576748298834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36-4F94-9C7A-5FF4FD2E0AF9}"/>
            </c:ext>
          </c:extLst>
        </c:ser>
        <c:ser>
          <c:idx val="13"/>
          <c:order val="13"/>
          <c:tx>
            <c:strRef>
              <c:f>'PHEV and BEV volumes'!$O$50</c:f>
              <c:strCache>
                <c:ptCount val="1"/>
                <c:pt idx="0">
                  <c:v>ManheimOnline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volumes'!$O$51:$O$61</c:f>
              <c:numCache>
                <c:formatCode>0</c:formatCode>
                <c:ptCount val="11"/>
                <c:pt idx="0">
                  <c:v>62.807423711491104</c:v>
                </c:pt>
                <c:pt idx="1">
                  <c:v>101.53948352887235</c:v>
                </c:pt>
                <c:pt idx="2">
                  <c:v>148.32895193516259</c:v>
                </c:pt>
                <c:pt idx="3">
                  <c:v>201.50190702883438</c:v>
                </c:pt>
                <c:pt idx="4">
                  <c:v>259.85041638824333</c:v>
                </c:pt>
                <c:pt idx="5">
                  <c:v>322.50729017109444</c:v>
                </c:pt>
                <c:pt idx="6">
                  <c:v>388.8457226846013</c:v>
                </c:pt>
                <c:pt idx="7">
                  <c:v>458.40624677337871</c:v>
                </c:pt>
                <c:pt idx="8">
                  <c:v>530.84572260124389</c:v>
                </c:pt>
                <c:pt idx="9">
                  <c:v>605.90234500352722</c:v>
                </c:pt>
                <c:pt idx="10">
                  <c:v>683.37178321992224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36-4F94-9C7A-5FF4FD2E0AF9}"/>
            </c:ext>
          </c:extLst>
        </c:ser>
        <c:ser>
          <c:idx val="14"/>
          <c:order val="14"/>
          <c:tx>
            <c:strRef>
              <c:f>'PHEV and BEV volumes'!$P$50</c:f>
              <c:strCache>
                <c:ptCount val="1"/>
                <c:pt idx="0">
                  <c:v>Birmingham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volumes'!$P$51:$P$61</c:f>
              <c:numCache>
                <c:formatCode>0</c:formatCode>
                <c:ptCount val="11"/>
                <c:pt idx="0">
                  <c:v>52.339519759575921</c:v>
                </c:pt>
                <c:pt idx="1">
                  <c:v>84.616236274060299</c:v>
                </c:pt>
                <c:pt idx="2">
                  <c:v>123.60745994596883</c:v>
                </c:pt>
                <c:pt idx="3">
                  <c:v>167.91825585736197</c:v>
                </c:pt>
                <c:pt idx="4">
                  <c:v>216.54201365686947</c:v>
                </c:pt>
                <c:pt idx="5">
                  <c:v>268.75607514257871</c:v>
                </c:pt>
                <c:pt idx="6">
                  <c:v>324.03810223716778</c:v>
                </c:pt>
                <c:pt idx="7">
                  <c:v>382.00520564448232</c:v>
                </c:pt>
                <c:pt idx="8">
                  <c:v>442.37143550103661</c:v>
                </c:pt>
                <c:pt idx="9">
                  <c:v>504.91862083627268</c:v>
                </c:pt>
                <c:pt idx="10">
                  <c:v>569.47648601660194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36-4F94-9C7A-5FF4FD2E0AF9}"/>
            </c:ext>
          </c:extLst>
        </c:ser>
        <c:ser>
          <c:idx val="15"/>
          <c:order val="15"/>
          <c:tx>
            <c:strRef>
              <c:f>'PHEV and BEV volumes'!$Q$50</c:f>
              <c:strCache>
                <c:ptCount val="1"/>
                <c:pt idx="0">
                  <c:v>Gloucester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volumes'!$Q$51:$Q$61</c:f>
              <c:numCache>
                <c:formatCode>0</c:formatCode>
                <c:ptCount val="11"/>
                <c:pt idx="0">
                  <c:v>20.935807903830369</c:v>
                </c:pt>
                <c:pt idx="1">
                  <c:v>33.846494509624122</c:v>
                </c:pt>
                <c:pt idx="2">
                  <c:v>49.442983978387531</c:v>
                </c:pt>
                <c:pt idx="3">
                  <c:v>67.167302342944808</c:v>
                </c:pt>
                <c:pt idx="4">
                  <c:v>86.616805462747777</c:v>
                </c:pt>
                <c:pt idx="5">
                  <c:v>107.50243005703149</c:v>
                </c:pt>
                <c:pt idx="6">
                  <c:v>129.6152408948671</c:v>
                </c:pt>
                <c:pt idx="7">
                  <c:v>152.80208225779293</c:v>
                </c:pt>
                <c:pt idx="8">
                  <c:v>176.94857420041467</c:v>
                </c:pt>
                <c:pt idx="9">
                  <c:v>201.9674483345091</c:v>
                </c:pt>
                <c:pt idx="10">
                  <c:v>227.79059440664076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36-4F94-9C7A-5FF4FD2E0AF9}"/>
            </c:ext>
          </c:extLst>
        </c:ser>
        <c:ser>
          <c:idx val="16"/>
          <c:order val="16"/>
          <c:tx>
            <c:strRef>
              <c:f>'PHEV and BEV volumes'!$R$50</c:f>
              <c:strCache>
                <c:ptCount val="1"/>
                <c:pt idx="0">
                  <c:v>Haydock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'PHEV and BEV volumes'!$A$51:$A$61</c:f>
              <c:numCache>
                <c:formatCode>General</c:formatCode>
                <c:ptCount val="11"/>
                <c:pt idx="0" formatCode="0">
                  <c:v>2022</c:v>
                </c:pt>
                <c:pt idx="1">
                  <c:v>2023</c:v>
                </c:pt>
                <c:pt idx="2" formatCode="0">
                  <c:v>2024</c:v>
                </c:pt>
                <c:pt idx="3">
                  <c:v>2025</c:v>
                </c:pt>
                <c:pt idx="4" formatCode="0">
                  <c:v>2026</c:v>
                </c:pt>
                <c:pt idx="5">
                  <c:v>2027</c:v>
                </c:pt>
                <c:pt idx="6" formatCode="0">
                  <c:v>2028</c:v>
                </c:pt>
                <c:pt idx="7">
                  <c:v>2029</c:v>
                </c:pt>
                <c:pt idx="8" formatCode="0">
                  <c:v>2030</c:v>
                </c:pt>
                <c:pt idx="9">
                  <c:v>2031</c:v>
                </c:pt>
                <c:pt idx="10" formatCode="0">
                  <c:v>2032</c:v>
                </c:pt>
              </c:numCache>
            </c:numRef>
          </c:cat>
          <c:val>
            <c:numRef>
              <c:f>'PHEV and BEV volumes'!$R$51:$R$61</c:f>
              <c:numCache>
                <c:formatCode>0</c:formatCode>
                <c:ptCount val="11"/>
                <c:pt idx="0">
                  <c:v>15.701855927872776</c:v>
                </c:pt>
                <c:pt idx="1">
                  <c:v>25.384870882218088</c:v>
                </c:pt>
                <c:pt idx="2">
                  <c:v>37.082237983790648</c:v>
                </c:pt>
                <c:pt idx="3">
                  <c:v>50.375476757208595</c:v>
                </c:pt>
                <c:pt idx="4">
                  <c:v>64.962604097060833</c:v>
                </c:pt>
                <c:pt idx="5">
                  <c:v>80.62682254277361</c:v>
                </c:pt>
                <c:pt idx="6">
                  <c:v>97.211430671150325</c:v>
                </c:pt>
                <c:pt idx="7">
                  <c:v>114.60156169334468</c:v>
                </c:pt>
                <c:pt idx="8">
                  <c:v>132.71143065031097</c:v>
                </c:pt>
                <c:pt idx="9">
                  <c:v>151.4755862508818</c:v>
                </c:pt>
                <c:pt idx="10">
                  <c:v>170.84294580498056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36-4F94-9C7A-5FF4FD2E0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658639"/>
        <c:axId val="605659055"/>
      </c:lineChart>
      <c:catAx>
        <c:axId val="60565863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59055"/>
        <c:crosses val="autoZero"/>
        <c:auto val="1"/>
        <c:lblAlgn val="ctr"/>
        <c:lblOffset val="100"/>
        <c:noMultiLvlLbl val="0"/>
      </c:catAx>
      <c:valAx>
        <c:axId val="6056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5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3</xdr:row>
      <xdr:rowOff>51435</xdr:rowOff>
    </xdr:from>
    <xdr:to>
      <xdr:col>7</xdr:col>
      <xdr:colOff>26670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D168F-C576-6DF2-B47E-3B69103E4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18</xdr:row>
      <xdr:rowOff>116205</xdr:rowOff>
    </xdr:from>
    <xdr:to>
      <xdr:col>7</xdr:col>
      <xdr:colOff>26670</xdr:colOff>
      <xdr:row>32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CFE2DC-181C-6990-076D-5E61EBFB5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232410</xdr:colOff>
      <xdr:row>3</xdr:row>
      <xdr:rowOff>70485</xdr:rowOff>
    </xdr:from>
    <xdr:to>
      <xdr:col>13</xdr:col>
      <xdr:colOff>796290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C41A2-FB04-F8B5-8A42-A69DE24A2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224790</xdr:colOff>
      <xdr:row>18</xdr:row>
      <xdr:rowOff>142875</xdr:rowOff>
    </xdr:from>
    <xdr:to>
      <xdr:col>13</xdr:col>
      <xdr:colOff>811530</xdr:colOff>
      <xdr:row>32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249486-3381-ACAD-0303-77187F56B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489474</xdr:colOff>
      <xdr:row>3</xdr:row>
      <xdr:rowOff>72726</xdr:rowOff>
    </xdr:from>
    <xdr:to>
      <xdr:col>21</xdr:col>
      <xdr:colOff>367553</xdr:colOff>
      <xdr:row>19</xdr:row>
      <xdr:rowOff>31377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9A7DD8-1DC2-CCFF-8A58-D16C6E491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486334</xdr:colOff>
      <xdr:row>50</xdr:row>
      <xdr:rowOff>141193</xdr:rowOff>
    </xdr:from>
    <xdr:to>
      <xdr:col>8</xdr:col>
      <xdr:colOff>551330</xdr:colOff>
      <xdr:row>74</xdr:row>
      <xdr:rowOff>62753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53D438-2292-1B7E-98D0-07631FF50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212911</xdr:colOff>
      <xdr:row>50</xdr:row>
      <xdr:rowOff>118783</xdr:rowOff>
    </xdr:from>
    <xdr:to>
      <xdr:col>16</xdr:col>
      <xdr:colOff>31377</xdr:colOff>
      <xdr:row>74</xdr:row>
      <xdr:rowOff>125506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2E0B8C-BB89-6BD8-3BDE-565A4BA28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632460</xdr:colOff>
      <xdr:row>2</xdr:row>
      <xdr:rowOff>112394</xdr:rowOff>
    </xdr:from>
    <xdr:to>
      <xdr:col>16</xdr:col>
      <xdr:colOff>312420</xdr:colOff>
      <xdr:row>18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4F44D-F368-E05E-9ADC-8DBC90426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79</xdr:row>
      <xdr:rowOff>83819</xdr:rowOff>
    </xdr:from>
    <xdr:to>
      <xdr:col>17</xdr:col>
      <xdr:colOff>240030</xdr:colOff>
      <xdr:row>117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E54CD-7D86-44A7-BF12-218254833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447675</xdr:colOff>
      <xdr:row>79</xdr:row>
      <xdr:rowOff>76200</xdr:rowOff>
    </xdr:from>
    <xdr:to>
      <xdr:col>24</xdr:col>
      <xdr:colOff>333375</xdr:colOff>
      <xdr:row>117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D3069-9C02-4204-B1C9-3A520FE03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609600</xdr:colOff>
      <xdr:row>79</xdr:row>
      <xdr:rowOff>76200</xdr:rowOff>
    </xdr:from>
    <xdr:to>
      <xdr:col>31</xdr:col>
      <xdr:colOff>262890</xdr:colOff>
      <xdr:row>117</xdr:row>
      <xdr:rowOff>36195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C0686-9A2B-4A7E-89A9-436620E08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624840</xdr:colOff>
      <xdr:row>47</xdr:row>
      <xdr:rowOff>85724</xdr:rowOff>
    </xdr:from>
    <xdr:to>
      <xdr:col>13</xdr:col>
      <xdr:colOff>552450</xdr:colOff>
      <xdr:row>70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E1FED-4F9B-B195-C7B7-6CC1E67C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96372</xdr:colOff>
      <xdr:row>2</xdr:row>
      <xdr:rowOff>49306</xdr:rowOff>
    </xdr:from>
    <xdr:to>
      <xdr:col>28</xdr:col>
      <xdr:colOff>421343</xdr:colOff>
      <xdr:row>20</xdr:row>
      <xdr:rowOff>94130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1EEEA-F55F-99EB-B43D-2B0672FCA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145676</xdr:colOff>
      <xdr:row>20</xdr:row>
      <xdr:rowOff>123265</xdr:rowOff>
    </xdr:from>
    <xdr:to>
      <xdr:col>29</xdr:col>
      <xdr:colOff>385482</xdr:colOff>
      <xdr:row>36</xdr:row>
      <xdr:rowOff>58269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A774C0-4BD9-C8AB-C8BC-A813E30CC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230838</xdr:colOff>
      <xdr:row>36</xdr:row>
      <xdr:rowOff>123264</xdr:rowOff>
    </xdr:from>
    <xdr:to>
      <xdr:col>29</xdr:col>
      <xdr:colOff>233080</xdr:colOff>
      <xdr:row>51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64F860-1015-2F88-E4D2-B1EDC8519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244287</xdr:colOff>
      <xdr:row>52</xdr:row>
      <xdr:rowOff>47063</xdr:rowOff>
    </xdr:from>
    <xdr:to>
      <xdr:col>28</xdr:col>
      <xdr:colOff>403411</xdr:colOff>
      <xdr:row>74</xdr:row>
      <xdr:rowOff>62751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5BA0A-E0CD-2CF4-7875-B566A2E8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it\electronic-vehicles-forecast\input\EV_Market_Mat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6">
          <cell r="P66" t="str">
            <v>% of Parc</v>
          </cell>
          <cell r="Q66" t="str">
            <v>Total EVs</v>
          </cell>
          <cell r="S66" t="str">
            <v>% of Parc</v>
          </cell>
          <cell r="T66" t="str">
            <v>Total EVs</v>
          </cell>
          <cell r="V66" t="str">
            <v>% of Parc</v>
          </cell>
          <cell r="W66" t="str">
            <v>Total EVs</v>
          </cell>
        </row>
        <row r="67">
          <cell r="O67" t="str">
            <v>Up to 1 year</v>
          </cell>
          <cell r="P67">
            <v>0.29668152550767707</v>
          </cell>
          <cell r="Q67">
            <v>595463.73078469292</v>
          </cell>
          <cell r="S67">
            <v>0.28260869565217389</v>
          </cell>
          <cell r="T67">
            <v>646162.64609357319</v>
          </cell>
          <cell r="V67">
            <v>0.34782608695652173</v>
          </cell>
          <cell r="W67">
            <v>795277.10288439784</v>
          </cell>
        </row>
        <row r="68">
          <cell r="O68" t="str">
            <v>1-2 years</v>
          </cell>
          <cell r="P68">
            <v>0.25145180023228808</v>
          </cell>
          <cell r="Q68">
            <v>428682.19757975754</v>
          </cell>
          <cell r="S68">
            <v>0.29668152550767707</v>
          </cell>
          <cell r="T68">
            <v>593026.87378816342</v>
          </cell>
          <cell r="V68">
            <v>0.28260869565217389</v>
          </cell>
          <cell r="W68">
            <v>643518.31045460131</v>
          </cell>
        </row>
        <row r="69">
          <cell r="O69" t="str">
            <v>2-3 years</v>
          </cell>
          <cell r="P69">
            <v>0.18533543065394756</v>
          </cell>
          <cell r="Q69">
            <v>299772.15599012055</v>
          </cell>
          <cell r="S69">
            <v>0.25145180023228803</v>
          </cell>
          <cell r="T69">
            <v>425186.44640092965</v>
          </cell>
          <cell r="V69">
            <v>0.29668152550767707</v>
          </cell>
          <cell r="W69">
            <v>588190.95010197896</v>
          </cell>
        </row>
        <row r="70">
          <cell r="O70" t="str">
            <v>3-4 years</v>
          </cell>
          <cell r="P70">
            <v>0.10587934088279986</v>
          </cell>
          <cell r="Q70">
            <v>170252.06543806006</v>
          </cell>
          <cell r="S70">
            <v>0.18533543065394756</v>
          </cell>
          <cell r="T70">
            <v>296424.18850909616</v>
          </cell>
          <cell r="V70">
            <v>0.25145180023228803</v>
          </cell>
          <cell r="W70">
            <v>420437.80524971627</v>
          </cell>
        </row>
        <row r="71">
          <cell r="O71" t="str">
            <v>4-5 years</v>
          </cell>
          <cell r="P71">
            <v>3.1566090351948357E-2</v>
          </cell>
          <cell r="Q71">
            <v>69590.330455304691</v>
          </cell>
          <cell r="S71">
            <v>0.10587934088279986</v>
          </cell>
          <cell r="T71">
            <v>168107.28193131642</v>
          </cell>
          <cell r="V71">
            <v>0.18533543065394756</v>
          </cell>
          <cell r="W71">
            <v>292689.92714270187</v>
          </cell>
        </row>
        <row r="72">
          <cell r="O72" t="str">
            <v>5-6 years</v>
          </cell>
          <cell r="P72">
            <v>2.5710872800425142E-2</v>
          </cell>
          <cell r="Q72">
            <v>56848.562862908322</v>
          </cell>
          <cell r="S72">
            <v>3.156609035194835E-2</v>
          </cell>
          <cell r="T72">
            <v>68873.76419758203</v>
          </cell>
          <cell r="V72">
            <v>0.10587934088279985</v>
          </cell>
          <cell r="W72">
            <v>166376.29423343763</v>
          </cell>
        </row>
        <row r="73">
          <cell r="O73" t="str">
            <v>6-7 years</v>
          </cell>
          <cell r="P73">
            <v>1.9341148150740197E-2</v>
          </cell>
          <cell r="Q73">
            <v>44390.282718848866</v>
          </cell>
          <cell r="S73">
            <v>2.5710872800425146E-2</v>
          </cell>
          <cell r="T73">
            <v>56269.517973233924</v>
          </cell>
          <cell r="V73">
            <v>3.156609035194835E-2</v>
          </cell>
          <cell r="W73">
            <v>68172.233689459536</v>
          </cell>
        </row>
        <row r="74">
          <cell r="O74" t="str">
            <v>7-8 years</v>
          </cell>
          <cell r="P74">
            <v>1.393261985532422E-2</v>
          </cell>
          <cell r="Q74">
            <v>34236.688130153656</v>
          </cell>
          <cell r="S74">
            <v>1.9341148150740201E-2</v>
          </cell>
          <cell r="T74">
            <v>43843.406158600068</v>
          </cell>
          <cell r="V74">
            <v>2.5710872800425149E-2</v>
          </cell>
          <cell r="W74">
            <v>55576.292371789546</v>
          </cell>
        </row>
        <row r="75">
          <cell r="O75" t="str">
            <v>8-9 years</v>
          </cell>
          <cell r="P75">
            <v>1.0828310850043498E-2</v>
          </cell>
          <cell r="Q75">
            <v>25715.832260610365</v>
          </cell>
          <cell r="S75">
            <v>1.3932619855324218E-2</v>
          </cell>
          <cell r="T75">
            <v>33670.15117221322</v>
          </cell>
          <cell r="V75">
            <v>1.9341148150740197E-2</v>
          </cell>
          <cell r="W75">
            <v>43117.900529772509</v>
          </cell>
        </row>
        <row r="76">
          <cell r="O76" t="str">
            <v>9-10 years</v>
          </cell>
          <cell r="P76">
            <v>5.9341839437184749E-3</v>
          </cell>
          <cell r="Q76">
            <v>12957.20614562124</v>
          </cell>
          <cell r="S76">
            <v>1.0828310850043496E-2</v>
          </cell>
          <cell r="T76">
            <v>25157.578649453884</v>
          </cell>
          <cell r="V76">
            <v>1.3932619855324218E-2</v>
          </cell>
          <cell r="W76">
            <v>32939.220775343907</v>
          </cell>
        </row>
        <row r="77">
          <cell r="O77" t="str">
            <v>10+ years</v>
          </cell>
          <cell r="P77">
            <v>1.5950860128922395E-3</v>
          </cell>
          <cell r="Q77">
            <v>3129.2541153840843</v>
          </cell>
          <cell r="S77">
            <v>5.9341839437184758E-3</v>
          </cell>
          <cell r="T77">
            <v>12675.923897083183</v>
          </cell>
          <cell r="V77">
            <v>1.0828310850043496E-2</v>
          </cell>
          <cell r="W77">
            <v>24611.443918651381</v>
          </cell>
        </row>
        <row r="78">
          <cell r="O78" t="str">
            <v>Total</v>
          </cell>
          <cell r="P78">
            <v>7.6949924034444867E-2</v>
          </cell>
          <cell r="Q78">
            <v>1741038.306481462</v>
          </cell>
          <cell r="S78">
            <v>0.10448618121901317</v>
          </cell>
          <cell r="T78">
            <v>2369397.7787712449</v>
          </cell>
          <cell r="V78">
            <v>0.1388037336941787</v>
          </cell>
          <cell r="W78">
            <v>3130907.481351851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668C-ED6A-40D5-B3F7-7338A365A183}">
  <dimension ref="A1:U69"/>
  <sheetViews>
    <sheetView tabSelected="1" zoomScale="85" zoomScaleNormal="85" workbookViewId="0">
      <selection activeCell="A2" sqref="A2"/>
    </sheetView>
  </sheetViews>
  <sheetFormatPr defaultRowHeight="14.4" x14ac:dyDescent="0.55000000000000004"/>
  <cols>
    <col min="1" max="1" width="10.47265625" bestFit="1" customWidth="1"/>
    <col min="2" max="4" width="12.26171875" bestFit="1" customWidth="1"/>
    <col min="5" max="7" width="9.7890625" bestFit="1" customWidth="1"/>
    <col min="8" max="8" width="12.26171875" bestFit="1" customWidth="1"/>
    <col min="9" max="9" width="10.7890625" bestFit="1" customWidth="1"/>
    <col min="10" max="10" width="12.26171875" bestFit="1" customWidth="1"/>
    <col min="11" max="11" width="9.7890625" bestFit="1" customWidth="1"/>
    <col min="12" max="12" width="8.89453125" bestFit="1" customWidth="1"/>
    <col min="13" max="13" width="12.734375" customWidth="1"/>
    <col min="14" max="14" width="11.47265625" customWidth="1"/>
    <col min="15" max="15" width="12.3125" customWidth="1"/>
    <col min="16" max="16" width="13.3125" bestFit="1" customWidth="1"/>
    <col min="17" max="17" width="15.578125" customWidth="1"/>
    <col min="19" max="19" width="0" hidden="1" customWidth="1"/>
    <col min="20" max="20" width="11.15625" customWidth="1"/>
  </cols>
  <sheetData>
    <row r="1" spans="1:16" ht="23.1" x14ac:dyDescent="0.85">
      <c r="A1" s="20" t="s">
        <v>91</v>
      </c>
    </row>
    <row r="3" spans="1:16" ht="20.399999999999999" x14ac:dyDescent="0.75">
      <c r="A3" s="21" t="s">
        <v>109</v>
      </c>
      <c r="J3" s="21" t="s">
        <v>92</v>
      </c>
      <c r="P3" s="21" t="s">
        <v>107</v>
      </c>
    </row>
    <row r="35" spans="1:21" ht="20.399999999999999" x14ac:dyDescent="0.75">
      <c r="A35" s="21" t="s">
        <v>100</v>
      </c>
    </row>
    <row r="37" spans="1:21" x14ac:dyDescent="0.55000000000000004">
      <c r="A37" s="44"/>
      <c r="B37" s="50" t="s">
        <v>3</v>
      </c>
      <c r="C37" s="50"/>
      <c r="D37" s="50"/>
      <c r="E37" s="50"/>
      <c r="F37" s="50"/>
      <c r="G37" s="50"/>
      <c r="H37" s="50" t="s">
        <v>51</v>
      </c>
      <c r="I37" s="50"/>
      <c r="J37" s="50"/>
      <c r="K37" s="50"/>
      <c r="L37" s="50"/>
      <c r="M37" s="50"/>
      <c r="N37" s="48" t="s">
        <v>102</v>
      </c>
      <c r="O37" s="49"/>
      <c r="P37" s="49"/>
      <c r="Q37" s="29" t="s">
        <v>108</v>
      </c>
    </row>
    <row r="38" spans="1:21" x14ac:dyDescent="0.55000000000000004">
      <c r="A38" s="1"/>
      <c r="B38" s="46" t="s">
        <v>110</v>
      </c>
      <c r="C38" s="46"/>
      <c r="D38" s="46"/>
      <c r="E38" s="46" t="s">
        <v>50</v>
      </c>
      <c r="F38" s="46"/>
      <c r="G38" s="46"/>
      <c r="H38" s="46" t="s">
        <v>110</v>
      </c>
      <c r="I38" s="46"/>
      <c r="J38" s="46"/>
      <c r="K38" s="46" t="s">
        <v>50</v>
      </c>
      <c r="L38" s="46"/>
      <c r="M38" s="46"/>
      <c r="N38" s="46" t="s">
        <v>110</v>
      </c>
      <c r="O38" s="46"/>
      <c r="P38" s="47"/>
      <c r="Q38" s="3" t="s">
        <v>110</v>
      </c>
      <c r="R38" s="28"/>
      <c r="S38" s="27"/>
      <c r="T38" t="s">
        <v>131</v>
      </c>
      <c r="U38" t="s">
        <v>132</v>
      </c>
    </row>
    <row r="39" spans="1:21" x14ac:dyDescent="0.55000000000000004">
      <c r="A39" s="2" t="s">
        <v>101</v>
      </c>
      <c r="B39" s="2" t="s">
        <v>1</v>
      </c>
      <c r="C39" s="2" t="s">
        <v>52</v>
      </c>
      <c r="D39" s="2" t="s">
        <v>53</v>
      </c>
      <c r="E39" s="2" t="s">
        <v>1</v>
      </c>
      <c r="F39" s="2" t="s">
        <v>52</v>
      </c>
      <c r="G39" s="2" t="s">
        <v>53</v>
      </c>
      <c r="H39" s="2" t="s">
        <v>54</v>
      </c>
      <c r="I39" s="2" t="s">
        <v>55</v>
      </c>
      <c r="J39" s="2" t="s">
        <v>56</v>
      </c>
      <c r="K39" s="2" t="s">
        <v>54</v>
      </c>
      <c r="L39" s="2" t="s">
        <v>55</v>
      </c>
      <c r="M39" s="2" t="s">
        <v>56</v>
      </c>
      <c r="N39" s="2" t="s">
        <v>103</v>
      </c>
      <c r="O39" s="2" t="s">
        <v>104</v>
      </c>
      <c r="P39" s="25" t="s">
        <v>105</v>
      </c>
      <c r="Q39" s="30" t="s">
        <v>103</v>
      </c>
    </row>
    <row r="40" spans="1:21" x14ac:dyDescent="0.55000000000000004">
      <c r="A40" s="23">
        <v>2022</v>
      </c>
      <c r="B40" s="32">
        <f>'EV forecast data'!C11</f>
        <v>662645.95784376108</v>
      </c>
      <c r="C40" s="32">
        <f>'EV forecast data'!D11</f>
        <v>627004.56516196695</v>
      </c>
      <c r="D40" s="32">
        <f>'EV forecast data'!E11</f>
        <v>698287.35052555392</v>
      </c>
      <c r="E40" s="32">
        <f>'EV forecast data'!F11</f>
        <v>4331.0539804668224</v>
      </c>
      <c r="F40" s="32">
        <f>'EV forecast data'!G11</f>
        <v>4098.1018378986155</v>
      </c>
      <c r="G40" s="32">
        <f>'EV forecast data'!H11</f>
        <v>4564.0061230350202</v>
      </c>
      <c r="H40" s="32">
        <f>'EV forecast data'!I11</f>
        <v>429861</v>
      </c>
      <c r="I40" s="32">
        <f>'EV forecast data'!J11</f>
        <v>401114.32614750497</v>
      </c>
      <c r="J40" s="32">
        <f>'EV forecast data'!K11</f>
        <v>458607.67385249498</v>
      </c>
      <c r="K40" s="32">
        <f>'EV forecast data'!L11</f>
        <v>2809.571496</v>
      </c>
      <c r="L40" s="32">
        <f>'EV forecast data'!M11</f>
        <v>2621.6832357000922</v>
      </c>
      <c r="M40" s="32">
        <f>'EV forecast data'!N11</f>
        <v>2997.459756299907</v>
      </c>
      <c r="N40" s="32">
        <f>B40+H40</f>
        <v>1092506.957843761</v>
      </c>
      <c r="O40" s="32">
        <f>C40+I40</f>
        <v>1028118.8913094719</v>
      </c>
      <c r="P40" s="33">
        <f>D40+J40</f>
        <v>1156895.024378049</v>
      </c>
      <c r="Q40" s="32">
        <f>'Umar''s EV forecast'!Q20</f>
        <v>1156844.4928311692</v>
      </c>
      <c r="S40" s="37">
        <f>E40+K40</f>
        <v>7140.6254764668229</v>
      </c>
      <c r="T40" s="37">
        <f>E40+K40</f>
        <v>7140.6254764668229</v>
      </c>
      <c r="U40" s="37">
        <f>G40+M40</f>
        <v>7561.4658793349272</v>
      </c>
    </row>
    <row r="41" spans="1:21" x14ac:dyDescent="0.55000000000000004">
      <c r="A41" s="1">
        <v>2023</v>
      </c>
      <c r="B41" s="32">
        <f>'EV forecast data'!C15</f>
        <v>1004266.3630826799</v>
      </c>
      <c r="C41" s="32">
        <f>'EV forecast data'!D15</f>
        <v>879625.77954693499</v>
      </c>
      <c r="D41" s="32">
        <f>'EV forecast data'!E15</f>
        <v>1128906.9466184301</v>
      </c>
      <c r="E41" s="32">
        <f>'EV forecast data'!F15</f>
        <v>6563.8849491083956</v>
      </c>
      <c r="F41" s="32">
        <f>'EV forecast data'!G15</f>
        <v>5749.2340951187662</v>
      </c>
      <c r="G41" s="32">
        <f>'EV forecast data'!H15</f>
        <v>7378.5358030980578</v>
      </c>
      <c r="H41" s="32">
        <f>'EV forecast data'!I15</f>
        <v>538281.00000000093</v>
      </c>
      <c r="I41" s="32">
        <f>'EV forecast data'!J15</f>
        <v>447376.03547211003</v>
      </c>
      <c r="J41" s="32">
        <f>'EV forecast data'!K15</f>
        <v>629185.96452789102</v>
      </c>
      <c r="K41" s="32">
        <f>'EV forecast data'!L15</f>
        <v>3518.2046160000054</v>
      </c>
      <c r="L41" s="32">
        <f>'EV forecast data'!M15</f>
        <v>2924.0497678457109</v>
      </c>
      <c r="M41" s="32">
        <f>'EV forecast data'!N15</f>
        <v>4112.359464154295</v>
      </c>
      <c r="N41" s="32">
        <f t="shared" ref="N41:N50" si="0">B41+H41</f>
        <v>1542547.3630826809</v>
      </c>
      <c r="O41" s="32">
        <f t="shared" ref="O41:O50" si="1">C41+I41</f>
        <v>1327001.815019045</v>
      </c>
      <c r="P41" s="33">
        <f t="shared" ref="P41:P50" si="2">D41+J41</f>
        <v>1758092.9111463211</v>
      </c>
      <c r="Q41" s="32">
        <f>'Umar''s EV forecast'!R20</f>
        <v>1741038.306481462</v>
      </c>
      <c r="S41" s="37">
        <f t="shared" ref="S41:S49" si="3">E41+K41</f>
        <v>10082.089565108401</v>
      </c>
      <c r="T41" s="37">
        <f t="shared" ref="T41:T50" si="4">E41+K41</f>
        <v>10082.089565108401</v>
      </c>
      <c r="U41" s="37">
        <f t="shared" ref="U41:U49" si="5">G41+M41</f>
        <v>11490.895267252352</v>
      </c>
    </row>
    <row r="42" spans="1:21" x14ac:dyDescent="0.55000000000000004">
      <c r="A42" s="23">
        <v>2024</v>
      </c>
      <c r="B42" s="32">
        <f>'EV forecast data'!C19</f>
        <v>1380755.8263959</v>
      </c>
      <c r="C42" s="32">
        <f>'EV forecast data'!D19</f>
        <v>1112403.5580414101</v>
      </c>
      <c r="D42" s="32">
        <f>'EV forecast data'!E19</f>
        <v>1649108.0947503799</v>
      </c>
      <c r="E42" s="32">
        <f>'EV forecast data'!F19</f>
        <v>9024.620081323601</v>
      </c>
      <c r="F42" s="32">
        <f>'EV forecast data'!G19</f>
        <v>7270.6696553586553</v>
      </c>
      <c r="G42" s="32">
        <f>'EV forecast data'!H19</f>
        <v>10778.570507288481</v>
      </c>
      <c r="H42" s="32">
        <f>'EV forecast data'!I19</f>
        <v>646701.00000000105</v>
      </c>
      <c r="I42" s="32">
        <f>'EV forecast data'!J19</f>
        <v>473879.07341156498</v>
      </c>
      <c r="J42" s="32">
        <f>'EV forecast data'!K19</f>
        <v>819522.92658843705</v>
      </c>
      <c r="K42" s="32">
        <f>'EV forecast data'!L19</f>
        <v>4226.8377360000068</v>
      </c>
      <c r="L42" s="32">
        <f>'EV forecast data'!M19</f>
        <v>3097.2736238179887</v>
      </c>
      <c r="M42" s="32">
        <f>'EV forecast data'!N19</f>
        <v>5356.401848182024</v>
      </c>
      <c r="N42" s="32">
        <f t="shared" si="0"/>
        <v>2027456.8263959009</v>
      </c>
      <c r="O42" s="32">
        <f t="shared" si="1"/>
        <v>1586282.6314529751</v>
      </c>
      <c r="P42" s="33">
        <f t="shared" si="2"/>
        <v>2468631.0213388167</v>
      </c>
      <c r="Q42" s="32">
        <f>'Umar''s EV forecast'!S20</f>
        <v>2369397.7787712449</v>
      </c>
      <c r="S42" s="37">
        <f t="shared" si="3"/>
        <v>13251.457817323608</v>
      </c>
      <c r="T42" s="37">
        <f t="shared" si="4"/>
        <v>13251.457817323608</v>
      </c>
      <c r="U42" s="37">
        <f t="shared" si="5"/>
        <v>16134.972355470505</v>
      </c>
    </row>
    <row r="43" spans="1:21" x14ac:dyDescent="0.55000000000000004">
      <c r="A43" s="1">
        <v>2025</v>
      </c>
      <c r="B43" s="32">
        <f>'EV forecast data'!C23</f>
        <v>1778145.6965630599</v>
      </c>
      <c r="C43" s="32">
        <f>'EV forecast data'!D23</f>
        <v>1316011.1130217798</v>
      </c>
      <c r="D43" s="32">
        <f>'EV forecast data'!E23</f>
        <v>2240280.2801043401</v>
      </c>
      <c r="E43" s="32">
        <f>'EV forecast data'!F23</f>
        <v>11621.960272736158</v>
      </c>
      <c r="F43" s="32">
        <f>'EV forecast data'!G23</f>
        <v>8601.4486347103521</v>
      </c>
      <c r="G43" s="32">
        <f>'EV forecast data'!H23</f>
        <v>14642.471910761966</v>
      </c>
      <c r="H43" s="32">
        <f>'EV forecast data'!I23</f>
        <v>755121.00000000198</v>
      </c>
      <c r="I43" s="32">
        <f>'EV forecast data'!J23</f>
        <v>484579.16808785498</v>
      </c>
      <c r="J43" s="32">
        <f>'EV forecast data'!K23</f>
        <v>1025662.83191215</v>
      </c>
      <c r="K43" s="32">
        <f>'EV forecast data'!L23</f>
        <v>4935.4708560000126</v>
      </c>
      <c r="L43" s="32">
        <f>'EV forecast data'!M23</f>
        <v>3167.2094426222197</v>
      </c>
      <c r="M43" s="32">
        <f>'EV forecast data'!N23</f>
        <v>6703.7322693778124</v>
      </c>
      <c r="N43" s="32">
        <f t="shared" si="0"/>
        <v>2533266.6965630618</v>
      </c>
      <c r="O43" s="32">
        <f>C43+I43</f>
        <v>1800590.2811096348</v>
      </c>
      <c r="P43" s="33">
        <f t="shared" si="2"/>
        <v>3265943.1120164902</v>
      </c>
      <c r="Q43" s="32">
        <f>'Umar''s EV forecast'!T20</f>
        <v>3130907.481351851</v>
      </c>
      <c r="S43" s="37">
        <f>E43+K43</f>
        <v>16557.431128736171</v>
      </c>
      <c r="T43" s="37">
        <f t="shared" si="4"/>
        <v>16557.431128736171</v>
      </c>
      <c r="U43" s="37">
        <f t="shared" si="5"/>
        <v>21346.204180139779</v>
      </c>
    </row>
    <row r="44" spans="1:21" x14ac:dyDescent="0.55000000000000004">
      <c r="A44" s="23">
        <v>2026</v>
      </c>
      <c r="B44" s="32">
        <f>'EV forecast data'!C27</f>
        <v>2188063.3674197402</v>
      </c>
      <c r="C44" s="32">
        <f>'EV forecast data'!D27</f>
        <v>1487132.91738554</v>
      </c>
      <c r="D44" s="32">
        <f>'EV forecast data'!E27</f>
        <v>2888993.8174539502</v>
      </c>
      <c r="E44" s="32">
        <f>'EV forecast data'!F27</f>
        <v>14301.18216945542</v>
      </c>
      <c r="F44" s="32">
        <f>'EV forecast data'!G27</f>
        <v>9719.9007480318887</v>
      </c>
      <c r="G44" s="32">
        <f>'EV forecast data'!H27</f>
        <v>18882.463590879015</v>
      </c>
      <c r="H44" s="32">
        <f>'EV forecast data'!I27</f>
        <v>863541.00000000198</v>
      </c>
      <c r="I44" s="32">
        <f>'EV forecast data'!J27</f>
        <v>481709.23017882399</v>
      </c>
      <c r="J44" s="32">
        <f>'EV forecast data'!K27</f>
        <v>1245372.76982118</v>
      </c>
      <c r="K44" s="32">
        <f>'EV forecast data'!L27</f>
        <v>5644.1039760000131</v>
      </c>
      <c r="L44" s="32">
        <f>'EV forecast data'!M27</f>
        <v>3148.4515284487929</v>
      </c>
      <c r="M44" s="32">
        <f>'EV forecast data'!N27</f>
        <v>8139.7564235512318</v>
      </c>
      <c r="N44" s="32">
        <f t="shared" si="0"/>
        <v>3051604.367419742</v>
      </c>
      <c r="O44" s="32">
        <f t="shared" si="1"/>
        <v>1968842.1475643639</v>
      </c>
      <c r="P44" s="33">
        <f t="shared" si="2"/>
        <v>4134366.5872751302</v>
      </c>
      <c r="Q44" s="32">
        <f>'Umar''s EV forecast'!U20</f>
        <v>3997348.1903430102</v>
      </c>
      <c r="S44" s="37">
        <f t="shared" si="3"/>
        <v>19945.286145455433</v>
      </c>
      <c r="T44" s="37">
        <f t="shared" si="4"/>
        <v>19945.286145455433</v>
      </c>
      <c r="U44" s="37">
        <f t="shared" si="5"/>
        <v>27022.220014430248</v>
      </c>
    </row>
    <row r="45" spans="1:21" x14ac:dyDescent="0.55000000000000004">
      <c r="A45" s="1">
        <v>2027</v>
      </c>
      <c r="B45" s="32">
        <f>'EV forecast data'!C31</f>
        <v>2605490.2633294798</v>
      </c>
      <c r="C45" s="32">
        <f>'EV forecast data'!D31</f>
        <v>1625373.15939566</v>
      </c>
      <c r="D45" s="32">
        <f>'EV forecast data'!E31</f>
        <v>3585607.3672632901</v>
      </c>
      <c r="E45" s="32">
        <f>'EV forecast data'!F31</f>
        <v>17029.484361121478</v>
      </c>
      <c r="F45" s="32">
        <f>'EV forecast data'!G31</f>
        <v>10623.438969810033</v>
      </c>
      <c r="G45" s="32">
        <f>'EV forecast data'!H31</f>
        <v>23435.529752432863</v>
      </c>
      <c r="H45" s="32">
        <f>'EV forecast data'!I31</f>
        <v>971961.00000000303</v>
      </c>
      <c r="I45" s="32">
        <f>'EV forecast data'!J31</f>
        <v>466757.41177447297</v>
      </c>
      <c r="J45" s="32">
        <f>'EV forecast data'!K31</f>
        <v>1477164.58822553</v>
      </c>
      <c r="K45" s="32">
        <f>'EV forecast data'!L31</f>
        <v>6352.7370960000189</v>
      </c>
      <c r="L45" s="32">
        <f>'EV forecast data'!M31</f>
        <v>3050.7264433579553</v>
      </c>
      <c r="M45" s="32">
        <f>'EV forecast data'!N31</f>
        <v>9654.747748642063</v>
      </c>
      <c r="N45" s="32">
        <f t="shared" si="0"/>
        <v>3577451.2633294826</v>
      </c>
      <c r="O45" s="32">
        <f t="shared" si="1"/>
        <v>2092130.5711701331</v>
      </c>
      <c r="P45" s="33">
        <f t="shared" si="2"/>
        <v>5062771.9554888196</v>
      </c>
      <c r="Q45" s="32">
        <f>'Umar''s EV forecast'!V20</f>
        <v>5021482.2586420979</v>
      </c>
      <c r="S45" s="37">
        <f t="shared" si="3"/>
        <v>23382.221457121497</v>
      </c>
      <c r="T45" s="37">
        <f t="shared" si="4"/>
        <v>23382.221457121497</v>
      </c>
      <c r="U45" s="37">
        <f t="shared" si="5"/>
        <v>33090.277501074925</v>
      </c>
    </row>
    <row r="46" spans="1:21" x14ac:dyDescent="0.55000000000000004">
      <c r="A46" s="23">
        <v>2028</v>
      </c>
      <c r="B46" s="32">
        <f>'EV forecast data'!C35</f>
        <v>3027418.2255585101</v>
      </c>
      <c r="C46" s="32">
        <f>'EV forecast data'!D35</f>
        <v>1731684.2915269102</v>
      </c>
      <c r="D46" s="32">
        <f>'EV forecast data'!E35</f>
        <v>4323152.1595901204</v>
      </c>
      <c r="E46" s="32">
        <f>'EV forecast data'!F35</f>
        <v>19787.20552225042</v>
      </c>
      <c r="F46" s="32">
        <f>'EV forecast data'!G35</f>
        <v>11318.288529419886</v>
      </c>
      <c r="G46" s="32">
        <f>'EV forecast data'!H35</f>
        <v>28256.122515081028</v>
      </c>
      <c r="H46" s="32">
        <f>'EV forecast data'!I35</f>
        <v>1080381</v>
      </c>
      <c r="I46" s="32">
        <f>'EV forecast data'!J35</f>
        <v>440807.88259828999</v>
      </c>
      <c r="J46" s="32">
        <f>'EV forecast data'!K35</f>
        <v>1719954.11740172</v>
      </c>
      <c r="K46" s="32">
        <f>'EV forecast data'!L35</f>
        <v>7061.3702159999993</v>
      </c>
      <c r="L46" s="32">
        <f>'EV forecast data'!M35</f>
        <v>2881.1203206624232</v>
      </c>
      <c r="M46" s="32">
        <f>'EV forecast data'!N35</f>
        <v>11241.620111337641</v>
      </c>
      <c r="N46" s="32">
        <f t="shared" si="0"/>
        <v>4107799.2255585101</v>
      </c>
      <c r="O46" s="32">
        <f t="shared" si="1"/>
        <v>2172492.1741252001</v>
      </c>
      <c r="P46" s="33">
        <f t="shared" si="2"/>
        <v>6043106.2769918405</v>
      </c>
      <c r="Q46" s="32">
        <f>'Umar''s EV forecast'!W20</f>
        <v>6200101.094052908</v>
      </c>
      <c r="S46" s="37">
        <f t="shared" si="3"/>
        <v>26848.57573825042</v>
      </c>
      <c r="T46" s="37">
        <f t="shared" si="4"/>
        <v>26848.57573825042</v>
      </c>
      <c r="U46" s="37">
        <f t="shared" si="5"/>
        <v>39497.742626418665</v>
      </c>
    </row>
    <row r="47" spans="1:21" x14ac:dyDescent="0.55000000000000004">
      <c r="A47" s="1">
        <v>2029</v>
      </c>
      <c r="B47" s="32">
        <f>'EV forecast data'!C39</f>
        <v>3452044.1490122997</v>
      </c>
      <c r="C47" s="32">
        <f>'EV forecast data'!D39</f>
        <v>1807568.4185572199</v>
      </c>
      <c r="D47" s="32">
        <f>'EV forecast data'!E39</f>
        <v>5096519.8794673895</v>
      </c>
      <c r="E47" s="32">
        <f>'EV forecast data'!F39</f>
        <v>22562.560557944387</v>
      </c>
      <c r="F47" s="32">
        <f>'EV forecast data'!G39</f>
        <v>11814.26718368999</v>
      </c>
      <c r="G47" s="32">
        <f>'EV forecast data'!H39</f>
        <v>33310.853932198857</v>
      </c>
      <c r="H47" s="32">
        <f>'EV forecast data'!I39</f>
        <v>1188801</v>
      </c>
      <c r="I47" s="32">
        <f>'EV forecast data'!J39</f>
        <v>404696.27763137099</v>
      </c>
      <c r="J47" s="32">
        <f>'EV forecast data'!K39</f>
        <v>1972905.7223686399</v>
      </c>
      <c r="K47" s="32">
        <f>'EV forecast data'!L39</f>
        <v>7770.0033359999989</v>
      </c>
      <c r="L47" s="32">
        <f>'EV forecast data'!M39</f>
        <v>2645.0948705986402</v>
      </c>
      <c r="M47" s="32">
        <f>'EV forecast data'!N39</f>
        <v>12894.911801401431</v>
      </c>
      <c r="N47" s="32">
        <f t="shared" si="0"/>
        <v>4640845.1490122993</v>
      </c>
      <c r="O47" s="32">
        <f t="shared" si="1"/>
        <v>2212264.696188591</v>
      </c>
      <c r="P47" s="33">
        <f t="shared" si="2"/>
        <v>7069425.6018360294</v>
      </c>
      <c r="Q47" s="32">
        <f>'Umar''s EV forecast'!X20</f>
        <v>7603009.4363434725</v>
      </c>
      <c r="S47" s="37">
        <f t="shared" si="3"/>
        <v>30332.563893944385</v>
      </c>
      <c r="T47" s="37">
        <f t="shared" si="4"/>
        <v>30332.563893944385</v>
      </c>
      <c r="U47" s="37">
        <f t="shared" si="5"/>
        <v>46205.765733600289</v>
      </c>
    </row>
    <row r="48" spans="1:21" x14ac:dyDescent="0.55000000000000004">
      <c r="A48" s="23">
        <v>2030</v>
      </c>
      <c r="B48" s="32">
        <f>'EV forecast data'!C43</f>
        <v>3878287.2436548802</v>
      </c>
      <c r="C48" s="32">
        <f>'EV forecast data'!D43</f>
        <v>1854678.9585933599</v>
      </c>
      <c r="D48" s="32">
        <f>'EV forecast data'!E43</f>
        <v>5901895.5287164003</v>
      </c>
      <c r="E48" s="32">
        <f>'EV forecast data'!F43</f>
        <v>25348.485424528295</v>
      </c>
      <c r="F48" s="32">
        <f>'EV forecast data'!G43</f>
        <v>12122.1816733662</v>
      </c>
      <c r="G48" s="32">
        <f>'EV forecast data'!H43</f>
        <v>38574.789175690392</v>
      </c>
      <c r="H48" s="32">
        <f>'EV forecast data'!I43</f>
        <v>1297221.00000001</v>
      </c>
      <c r="I48" s="32">
        <f>'EV forecast data'!J43</f>
        <v>359092.33647643495</v>
      </c>
      <c r="J48" s="32">
        <f>'EV forecast data'!K43</f>
        <v>2235349.6635235799</v>
      </c>
      <c r="K48" s="32">
        <f>'EV forecast data'!L43</f>
        <v>8478.6364560000638</v>
      </c>
      <c r="L48" s="32">
        <f>'EV forecast data'!M43</f>
        <v>2347.0275112099789</v>
      </c>
      <c r="M48" s="32">
        <f>'EV forecast data'!N43</f>
        <v>14610.245400790118</v>
      </c>
      <c r="N48" s="32">
        <f t="shared" si="0"/>
        <v>5175508.24365489</v>
      </c>
      <c r="O48" s="32">
        <f t="shared" si="1"/>
        <v>2213771.2950697951</v>
      </c>
      <c r="P48" s="33">
        <f t="shared" si="2"/>
        <v>8137245.1922399802</v>
      </c>
      <c r="Q48" s="32">
        <f>'Umar''s EV forecast'!Y20</f>
        <v>9202226.963641163</v>
      </c>
      <c r="S48" s="37">
        <f>E48+K48</f>
        <v>33827.121880528357</v>
      </c>
      <c r="T48" s="37">
        <f t="shared" si="4"/>
        <v>33827.121880528357</v>
      </c>
      <c r="U48" s="37">
        <f t="shared" si="5"/>
        <v>53185.03457648051</v>
      </c>
    </row>
    <row r="49" spans="1:21" x14ac:dyDescent="0.55000000000000004">
      <c r="A49" s="1">
        <v>2031</v>
      </c>
      <c r="B49" s="32">
        <f>'EV forecast data'!C47</f>
        <v>4305499.6786385505</v>
      </c>
      <c r="C49" s="32">
        <f>'EV forecast data'!D47</f>
        <v>1874630.9764749301</v>
      </c>
      <c r="D49" s="32">
        <f>'EV forecast data'!E47</f>
        <v>6736368.3808021694</v>
      </c>
      <c r="E49" s="32">
        <f>'EV forecast data'!F47</f>
        <v>28140.745899581565</v>
      </c>
      <c r="F49" s="32">
        <f>'EV forecast data'!G47</f>
        <v>12252.588062240142</v>
      </c>
      <c r="G49" s="32">
        <f>'EV forecast data'!H47</f>
        <v>44028.903736922977</v>
      </c>
      <c r="H49" s="32">
        <f>'EV forecast data'!I47</f>
        <v>1405641.00000001</v>
      </c>
      <c r="I49" s="32">
        <f>'EV forecast data'!J47</f>
        <v>304548.50256431598</v>
      </c>
      <c r="J49" s="32">
        <f>'EV forecast data'!K47</f>
        <v>2506733.4974357001</v>
      </c>
      <c r="K49" s="32">
        <f>'EV forecast data'!L47</f>
        <v>9187.2695760000643</v>
      </c>
      <c r="L49" s="32">
        <f>'EV forecast data'!M47</f>
        <v>1990.5290127603691</v>
      </c>
      <c r="M49" s="32">
        <f>'EV forecast data'!N47</f>
        <v>16384.010139239734</v>
      </c>
      <c r="N49" s="32">
        <f t="shared" si="0"/>
        <v>5711140.6786385607</v>
      </c>
      <c r="O49" s="32">
        <f t="shared" si="1"/>
        <v>2179179.4790392462</v>
      </c>
      <c r="P49" s="33">
        <f t="shared" si="2"/>
        <v>9243101.8782378696</v>
      </c>
      <c r="Q49" s="32">
        <f>'Umar''s EV forecast'!Z20</f>
        <v>10867831.531842055</v>
      </c>
      <c r="S49" s="37">
        <f t="shared" si="3"/>
        <v>37328.015475581633</v>
      </c>
      <c r="T49" s="37">
        <f t="shared" si="4"/>
        <v>37328.015475581633</v>
      </c>
      <c r="U49" s="37">
        <f t="shared" si="5"/>
        <v>60412.913876162711</v>
      </c>
    </row>
    <row r="50" spans="1:21" x14ac:dyDescent="0.55000000000000004">
      <c r="A50" s="23">
        <v>2032</v>
      </c>
      <c r="B50" s="32">
        <f>'EV forecast data'!C51</f>
        <v>4733293.1409762595</v>
      </c>
      <c r="C50" s="32">
        <f>'EV forecast data'!D51</f>
        <v>1868919.57744707</v>
      </c>
      <c r="D50" s="32">
        <f>'EV forecast data'!E51</f>
        <v>7597666.7045054603</v>
      </c>
      <c r="E50" s="32">
        <f>'EV forecast data'!F51</f>
        <v>30936.803969420827</v>
      </c>
      <c r="F50" s="32">
        <f>'EV forecast data'!G51</f>
        <v>12215.258358194049</v>
      </c>
      <c r="G50" s="32">
        <f>'EV forecast data'!H51</f>
        <v>49658.349580647686</v>
      </c>
      <c r="H50" s="32">
        <f>'EV forecast data'!I51</f>
        <v>1514061.00000001</v>
      </c>
      <c r="I50" s="32">
        <f>'EV forecast data'!J51</f>
        <v>241530.64446825901</v>
      </c>
      <c r="J50" s="32">
        <f>'EV forecast data'!K51</f>
        <v>2786591.35553176</v>
      </c>
      <c r="K50" s="32">
        <f>'EV forecast data'!L51</f>
        <v>9895.9026960000647</v>
      </c>
      <c r="L50" s="32">
        <f>'EV forecast data'!M51</f>
        <v>1578.6442922445408</v>
      </c>
      <c r="M50" s="32">
        <f>'EV forecast data'!N51</f>
        <v>18213.161099755584</v>
      </c>
      <c r="N50" s="32">
        <f t="shared" si="0"/>
        <v>6247354.1409762697</v>
      </c>
      <c r="O50" s="32">
        <f t="shared" si="1"/>
        <v>2110450.2219153289</v>
      </c>
      <c r="P50" s="33">
        <f t="shared" si="2"/>
        <v>10384258.06003722</v>
      </c>
      <c r="Q50" s="32">
        <f>'Umar''s EV forecast'!AA20</f>
        <v>12475911.497997014</v>
      </c>
      <c r="S50" s="37">
        <f>E50+K50</f>
        <v>40832.70666542089</v>
      </c>
      <c r="T50" s="37">
        <f t="shared" si="4"/>
        <v>40832.70666542089</v>
      </c>
      <c r="U50" s="37">
        <f>G50+M50</f>
        <v>67871.510680403269</v>
      </c>
    </row>
    <row r="69" spans="18:18" x14ac:dyDescent="0.55000000000000004">
      <c r="R69" t="s">
        <v>137</v>
      </c>
    </row>
  </sheetData>
  <mergeCells count="8">
    <mergeCell ref="N38:P38"/>
    <mergeCell ref="N37:P37"/>
    <mergeCell ref="B37:G37"/>
    <mergeCell ref="H37:M37"/>
    <mergeCell ref="B38:D38"/>
    <mergeCell ref="E38:G38"/>
    <mergeCell ref="H38:J38"/>
    <mergeCell ref="K38:M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>
      <selection sqref="A1:B1"/>
    </sheetView>
  </sheetViews>
  <sheetFormatPr defaultRowHeight="14.4" x14ac:dyDescent="0.55000000000000004"/>
  <cols>
    <col min="1" max="1" width="10.15625" bestFit="1" customWidth="1"/>
    <col min="2" max="2" width="9.47265625" customWidth="1"/>
    <col min="3" max="3" width="13.68359375" customWidth="1"/>
    <col min="4" max="4" width="16" customWidth="1"/>
    <col min="5" max="5" width="14.578125" customWidth="1"/>
    <col min="6" max="6" width="8.9453125" customWidth="1"/>
    <col min="7" max="7" width="11.41796875" customWidth="1"/>
    <col min="8" max="8" width="13.3125" customWidth="1"/>
    <col min="9" max="9" width="12.15625" customWidth="1"/>
    <col min="10" max="10" width="17.578125" customWidth="1"/>
    <col min="11" max="11" width="16.1015625" customWidth="1"/>
    <col min="12" max="12" width="14" customWidth="1"/>
    <col min="13" max="13" width="16.05078125" customWidth="1"/>
    <col min="14" max="14" width="17.3125" customWidth="1"/>
  </cols>
  <sheetData>
    <row r="1" spans="1:14" x14ac:dyDescent="0.55000000000000004">
      <c r="A1" s="51" t="s">
        <v>47</v>
      </c>
      <c r="B1" s="51"/>
      <c r="C1" s="4">
        <v>3.8</v>
      </c>
      <c r="D1" s="1" t="s">
        <v>111</v>
      </c>
    </row>
    <row r="2" spans="1:14" x14ac:dyDescent="0.55000000000000004">
      <c r="A2" s="51" t="s">
        <v>48</v>
      </c>
      <c r="B2" s="51"/>
      <c r="C2" s="4">
        <v>17.2</v>
      </c>
      <c r="D2" s="1" t="s">
        <v>49</v>
      </c>
    </row>
    <row r="3" spans="1:14" x14ac:dyDescent="0.55000000000000004">
      <c r="A3" s="2" t="s">
        <v>48</v>
      </c>
      <c r="B3" s="2"/>
      <c r="C3" s="4">
        <f>C1*C2/100</f>
        <v>0.65359999999999996</v>
      </c>
      <c r="D3" s="1" t="s">
        <v>111</v>
      </c>
    </row>
    <row r="5" spans="1:14" ht="15.6" x14ac:dyDescent="0.6">
      <c r="H5" s="31" t="s">
        <v>106</v>
      </c>
    </row>
    <row r="6" spans="1:14" x14ac:dyDescent="0.55000000000000004">
      <c r="A6" s="5"/>
      <c r="B6" s="6"/>
      <c r="C6" s="50" t="s">
        <v>3</v>
      </c>
      <c r="D6" s="50"/>
      <c r="E6" s="50"/>
      <c r="F6" s="50"/>
      <c r="G6" s="50"/>
      <c r="H6" s="50"/>
      <c r="I6" s="50" t="s">
        <v>51</v>
      </c>
      <c r="J6" s="50"/>
      <c r="K6" s="50"/>
      <c r="L6" s="50"/>
      <c r="M6" s="50"/>
      <c r="N6" s="50"/>
    </row>
    <row r="7" spans="1:14" x14ac:dyDescent="0.55000000000000004">
      <c r="A7" s="1"/>
      <c r="B7" s="1"/>
      <c r="C7" s="46" t="s">
        <v>110</v>
      </c>
      <c r="D7" s="46"/>
      <c r="E7" s="46"/>
      <c r="F7" s="46" t="s">
        <v>50</v>
      </c>
      <c r="G7" s="46"/>
      <c r="H7" s="46"/>
      <c r="I7" s="46" t="s">
        <v>110</v>
      </c>
      <c r="J7" s="46"/>
      <c r="K7" s="46"/>
      <c r="L7" s="46" t="s">
        <v>50</v>
      </c>
      <c r="M7" s="46"/>
      <c r="N7" s="46"/>
    </row>
    <row r="8" spans="1:14" x14ac:dyDescent="0.55000000000000004">
      <c r="A8" s="2" t="s">
        <v>0</v>
      </c>
      <c r="B8" s="2" t="s">
        <v>2</v>
      </c>
      <c r="C8" s="2" t="s">
        <v>1</v>
      </c>
      <c r="D8" s="2" t="s">
        <v>52</v>
      </c>
      <c r="E8" s="2" t="s">
        <v>53</v>
      </c>
      <c r="F8" s="2" t="s">
        <v>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54</v>
      </c>
      <c r="M8" s="2" t="s">
        <v>55</v>
      </c>
      <c r="N8" s="2" t="s">
        <v>56</v>
      </c>
    </row>
    <row r="9" spans="1:14" x14ac:dyDescent="0.55000000000000004">
      <c r="A9" s="24">
        <v>44652</v>
      </c>
      <c r="B9" s="1" t="s">
        <v>4</v>
      </c>
      <c r="C9" s="32">
        <v>508620.604032751</v>
      </c>
      <c r="D9" s="32">
        <v>496950.28982709697</v>
      </c>
      <c r="E9" s="32">
        <v>520290.91823840601</v>
      </c>
      <c r="F9" s="32">
        <f>C9*$C$3/100</f>
        <v>3324.3442679580603</v>
      </c>
      <c r="G9" s="32">
        <f>D9*$C$3/100</f>
        <v>3248.0670943099058</v>
      </c>
      <c r="H9" s="32">
        <f>E9*$C$3/100</f>
        <v>3400.6214416062217</v>
      </c>
      <c r="I9" s="32">
        <v>375651</v>
      </c>
      <c r="J9" s="32">
        <v>367968.128245331</v>
      </c>
      <c r="K9" s="32">
        <v>383333.871754669</v>
      </c>
      <c r="L9" s="32">
        <f>I9*$C$3/100</f>
        <v>2455.2549359999998</v>
      </c>
      <c r="M9" s="32">
        <f>J9*$C$3/100</f>
        <v>2405.0396862114831</v>
      </c>
      <c r="N9" s="32">
        <f>K9*$C$3/100</f>
        <v>2505.4701857885166</v>
      </c>
    </row>
    <row r="10" spans="1:14" x14ac:dyDescent="0.55000000000000004">
      <c r="A10" s="24">
        <v>44743</v>
      </c>
      <c r="B10" s="1" t="s">
        <v>11</v>
      </c>
      <c r="C10" s="32">
        <v>581288.078660578</v>
      </c>
      <c r="D10" s="32">
        <v>559051.57342232997</v>
      </c>
      <c r="E10" s="32">
        <v>603524.58389882697</v>
      </c>
      <c r="F10" s="32">
        <f t="shared" ref="F10:F51" si="0">C10*$C$3/100</f>
        <v>3799.2988821255376</v>
      </c>
      <c r="G10" s="32">
        <f t="shared" ref="G10:G51" si="1">D10*$C$3/100</f>
        <v>3653.9610838883486</v>
      </c>
      <c r="H10" s="32">
        <f t="shared" ref="H10:H51" si="2">E10*$C$3/100</f>
        <v>3944.6366803627329</v>
      </c>
      <c r="I10" s="32">
        <v>402756</v>
      </c>
      <c r="J10" s="32">
        <v>385576.57649414701</v>
      </c>
      <c r="K10" s="32">
        <v>419935.42350585398</v>
      </c>
      <c r="L10" s="32">
        <f t="shared" ref="L10:L51" si="3">I10*$C$3/100</f>
        <v>2632.4132159999995</v>
      </c>
      <c r="M10" s="32">
        <f t="shared" ref="M10:M51" si="4">J10*$C$3/100</f>
        <v>2520.1285039657446</v>
      </c>
      <c r="N10" s="32">
        <f t="shared" ref="N10:N51" si="5">K10*$C$3/100</f>
        <v>2744.6979280342616</v>
      </c>
    </row>
    <row r="11" spans="1:14" x14ac:dyDescent="0.55000000000000004">
      <c r="A11" s="24">
        <v>44835</v>
      </c>
      <c r="B11" s="1" t="s">
        <v>18</v>
      </c>
      <c r="C11" s="32">
        <v>662645.95784376108</v>
      </c>
      <c r="D11" s="32">
        <v>627004.56516196695</v>
      </c>
      <c r="E11" s="32">
        <v>698287.35052555392</v>
      </c>
      <c r="F11" s="32">
        <f t="shared" si="0"/>
        <v>4331.0539804668224</v>
      </c>
      <c r="G11" s="32">
        <f t="shared" si="1"/>
        <v>4098.1018378986155</v>
      </c>
      <c r="H11" s="32">
        <f t="shared" si="2"/>
        <v>4564.0061230350202</v>
      </c>
      <c r="I11" s="32">
        <v>429861</v>
      </c>
      <c r="J11" s="32">
        <v>401114.32614750497</v>
      </c>
      <c r="K11" s="32">
        <v>458607.67385249498</v>
      </c>
      <c r="L11" s="32">
        <f t="shared" si="3"/>
        <v>2809.571496</v>
      </c>
      <c r="M11" s="32">
        <f t="shared" si="4"/>
        <v>2621.6832357000922</v>
      </c>
      <c r="N11" s="32">
        <f t="shared" si="5"/>
        <v>2997.459756299907</v>
      </c>
    </row>
    <row r="12" spans="1:14" x14ac:dyDescent="0.55000000000000004">
      <c r="A12" s="24">
        <v>44927</v>
      </c>
      <c r="B12" s="1" t="s">
        <v>19</v>
      </c>
      <c r="C12" s="32">
        <v>742726.254279088</v>
      </c>
      <c r="D12" s="32">
        <v>691961.335434529</v>
      </c>
      <c r="E12" s="32">
        <v>793491.17312364699</v>
      </c>
      <c r="F12" s="32">
        <f t="shared" si="0"/>
        <v>4854.4587979681191</v>
      </c>
      <c r="G12" s="32">
        <f t="shared" si="1"/>
        <v>4522.6592884000811</v>
      </c>
      <c r="H12" s="32">
        <f t="shared" si="2"/>
        <v>5186.2583075361563</v>
      </c>
      <c r="I12" s="32">
        <v>456966</v>
      </c>
      <c r="J12" s="32">
        <v>414885.178335484</v>
      </c>
      <c r="K12" s="32">
        <v>499046.821664516</v>
      </c>
      <c r="L12" s="32">
        <f t="shared" si="3"/>
        <v>2986.7297759999997</v>
      </c>
      <c r="M12" s="32">
        <f t="shared" si="4"/>
        <v>2711.6895256007228</v>
      </c>
      <c r="N12" s="32">
        <f t="shared" si="5"/>
        <v>3261.770026399276</v>
      </c>
    </row>
    <row r="13" spans="1:14" x14ac:dyDescent="0.55000000000000004">
      <c r="A13" s="24">
        <v>45017</v>
      </c>
      <c r="B13" s="1" t="s">
        <v>5</v>
      </c>
      <c r="C13" s="32">
        <v>826080.95985430398</v>
      </c>
      <c r="D13" s="32">
        <v>753639.81306083396</v>
      </c>
      <c r="E13" s="32">
        <v>898522.10664777295</v>
      </c>
      <c r="F13" s="32">
        <f t="shared" si="0"/>
        <v>5399.265153607731</v>
      </c>
      <c r="G13" s="32">
        <f t="shared" si="1"/>
        <v>4925.7898181656101</v>
      </c>
      <c r="H13" s="32">
        <f t="shared" si="2"/>
        <v>5872.7404890498437</v>
      </c>
      <c r="I13" s="32">
        <v>484071</v>
      </c>
      <c r="J13" s="32">
        <v>427093.29811647302</v>
      </c>
      <c r="K13" s="32">
        <v>541048.70188352803</v>
      </c>
      <c r="L13" s="32">
        <f t="shared" si="3"/>
        <v>3163.8880559999998</v>
      </c>
      <c r="M13" s="32">
        <f t="shared" si="4"/>
        <v>2791.4817964892677</v>
      </c>
      <c r="N13" s="32">
        <f t="shared" si="5"/>
        <v>3536.2943155107391</v>
      </c>
    </row>
    <row r="14" spans="1:14" x14ac:dyDescent="0.55000000000000004">
      <c r="A14" s="24">
        <v>45108</v>
      </c>
      <c r="B14" s="1" t="s">
        <v>12</v>
      </c>
      <c r="C14" s="32">
        <v>912571.04713301605</v>
      </c>
      <c r="D14" s="32">
        <v>815594.92515464395</v>
      </c>
      <c r="E14" s="32">
        <v>1009547.16911139</v>
      </c>
      <c r="F14" s="32">
        <f t="shared" si="0"/>
        <v>5964.5643640613926</v>
      </c>
      <c r="G14" s="32">
        <f t="shared" si="1"/>
        <v>5330.7284308107519</v>
      </c>
      <c r="H14" s="32">
        <f t="shared" si="2"/>
        <v>6598.400297312045</v>
      </c>
      <c r="I14" s="32">
        <v>511176</v>
      </c>
      <c r="J14" s="32">
        <v>437886.07453762105</v>
      </c>
      <c r="K14" s="32">
        <v>584465.92546238005</v>
      </c>
      <c r="L14" s="32">
        <f t="shared" si="3"/>
        <v>3341.0463359999999</v>
      </c>
      <c r="M14" s="32">
        <f t="shared" si="4"/>
        <v>2862.023383177891</v>
      </c>
      <c r="N14" s="32">
        <f t="shared" si="5"/>
        <v>3820.0692888221156</v>
      </c>
    </row>
    <row r="15" spans="1:14" x14ac:dyDescent="0.55000000000000004">
      <c r="A15" s="24">
        <v>45200</v>
      </c>
      <c r="B15" s="1" t="s">
        <v>20</v>
      </c>
      <c r="C15" s="32">
        <v>1004266.3630826799</v>
      </c>
      <c r="D15" s="32">
        <v>879625.77954693499</v>
      </c>
      <c r="E15" s="32">
        <v>1128906.9466184301</v>
      </c>
      <c r="F15" s="32">
        <f t="shared" si="0"/>
        <v>6563.8849491083956</v>
      </c>
      <c r="G15" s="32">
        <f t="shared" si="1"/>
        <v>5749.2340951187662</v>
      </c>
      <c r="H15" s="32">
        <f t="shared" si="2"/>
        <v>7378.5358030980578</v>
      </c>
      <c r="I15" s="32">
        <v>538281.00000000093</v>
      </c>
      <c r="J15" s="32">
        <v>447376.03547211003</v>
      </c>
      <c r="K15" s="32">
        <v>629185.96452789102</v>
      </c>
      <c r="L15" s="32">
        <f t="shared" si="3"/>
        <v>3518.2046160000054</v>
      </c>
      <c r="M15" s="32">
        <f t="shared" si="4"/>
        <v>2924.0497678457109</v>
      </c>
      <c r="N15" s="32">
        <f t="shared" si="5"/>
        <v>4112.359464154295</v>
      </c>
    </row>
    <row r="16" spans="1:14" x14ac:dyDescent="0.55000000000000004">
      <c r="A16" s="24">
        <v>45292</v>
      </c>
      <c r="B16" s="1" t="s">
        <v>21</v>
      </c>
      <c r="C16" s="32">
        <v>1095197.3425489401</v>
      </c>
      <c r="D16" s="32">
        <v>940436.33933311794</v>
      </c>
      <c r="E16" s="32">
        <v>1249958.3457647599</v>
      </c>
      <c r="F16" s="32">
        <f t="shared" si="0"/>
        <v>7158.209830899872</v>
      </c>
      <c r="G16" s="32">
        <f t="shared" si="1"/>
        <v>6146.6919138812591</v>
      </c>
      <c r="H16" s="32">
        <f t="shared" si="2"/>
        <v>8169.7277479184695</v>
      </c>
      <c r="I16" s="32">
        <v>565386.00000000105</v>
      </c>
      <c r="J16" s="32">
        <v>455652.64247671398</v>
      </c>
      <c r="K16" s="32">
        <v>675119.35752328706</v>
      </c>
      <c r="L16" s="32">
        <f t="shared" si="3"/>
        <v>3695.3628960000065</v>
      </c>
      <c r="M16" s="32">
        <f t="shared" si="4"/>
        <v>2978.1456712278027</v>
      </c>
      <c r="N16" s="32">
        <f t="shared" si="5"/>
        <v>4412.5801207722043</v>
      </c>
    </row>
    <row r="17" spans="1:14" x14ac:dyDescent="0.55000000000000004">
      <c r="A17" s="24">
        <v>45383</v>
      </c>
      <c r="B17" s="1" t="s">
        <v>6</v>
      </c>
      <c r="C17" s="32">
        <v>1188090.46955595</v>
      </c>
      <c r="D17" s="32">
        <v>998500.16383440304</v>
      </c>
      <c r="E17" s="32">
        <v>1377680.7752775</v>
      </c>
      <c r="F17" s="32">
        <f t="shared" si="0"/>
        <v>7765.3593090176882</v>
      </c>
      <c r="G17" s="32">
        <f t="shared" si="1"/>
        <v>6526.1970708216577</v>
      </c>
      <c r="H17" s="32">
        <f t="shared" si="2"/>
        <v>9004.5215472137388</v>
      </c>
      <c r="I17" s="32">
        <v>592491.00000000105</v>
      </c>
      <c r="J17" s="32">
        <v>462789.19683740899</v>
      </c>
      <c r="K17" s="32">
        <v>722192.803162592</v>
      </c>
      <c r="L17" s="32">
        <f t="shared" si="3"/>
        <v>3872.5211760000066</v>
      </c>
      <c r="M17" s="32">
        <f t="shared" si="4"/>
        <v>3024.7901905293052</v>
      </c>
      <c r="N17" s="32">
        <f t="shared" si="5"/>
        <v>4720.2521614707011</v>
      </c>
    </row>
    <row r="18" spans="1:14" x14ac:dyDescent="0.55000000000000004">
      <c r="A18" s="24">
        <v>45474</v>
      </c>
      <c r="B18" s="1" t="s">
        <v>13</v>
      </c>
      <c r="C18" s="32">
        <v>1282863.16745095</v>
      </c>
      <c r="D18" s="32">
        <v>1055414.8030842501</v>
      </c>
      <c r="E18" s="32">
        <v>1510311.53181765</v>
      </c>
      <c r="F18" s="32">
        <f t="shared" si="0"/>
        <v>8384.7936624594095</v>
      </c>
      <c r="G18" s="32">
        <f t="shared" si="1"/>
        <v>6898.1911529586578</v>
      </c>
      <c r="H18" s="32">
        <f t="shared" si="2"/>
        <v>9871.3961719601593</v>
      </c>
      <c r="I18" s="32">
        <v>619596.00000000105</v>
      </c>
      <c r="J18" s="32">
        <v>468847.17054021003</v>
      </c>
      <c r="K18" s="32">
        <v>770344.829459792</v>
      </c>
      <c r="L18" s="32">
        <f t="shared" si="3"/>
        <v>4049.6794560000067</v>
      </c>
      <c r="M18" s="32">
        <f t="shared" si="4"/>
        <v>3064.3851066508128</v>
      </c>
      <c r="N18" s="32">
        <f t="shared" si="5"/>
        <v>5034.9738053492001</v>
      </c>
    </row>
    <row r="19" spans="1:14" x14ac:dyDescent="0.55000000000000004">
      <c r="A19" s="24">
        <v>45566</v>
      </c>
      <c r="B19" s="1" t="s">
        <v>22</v>
      </c>
      <c r="C19" s="32">
        <v>1380755.8263959</v>
      </c>
      <c r="D19" s="32">
        <v>1112403.5580414101</v>
      </c>
      <c r="E19" s="32">
        <v>1649108.0947503799</v>
      </c>
      <c r="F19" s="32">
        <f t="shared" si="0"/>
        <v>9024.620081323601</v>
      </c>
      <c r="G19" s="32">
        <f t="shared" si="1"/>
        <v>7270.6696553586553</v>
      </c>
      <c r="H19" s="32">
        <f t="shared" si="2"/>
        <v>10778.570507288481</v>
      </c>
      <c r="I19" s="32">
        <v>646701.00000000105</v>
      </c>
      <c r="J19" s="32">
        <v>473879.07341156498</v>
      </c>
      <c r="K19" s="32">
        <v>819522.92658843705</v>
      </c>
      <c r="L19" s="32">
        <f t="shared" si="3"/>
        <v>4226.8377360000068</v>
      </c>
      <c r="M19" s="32">
        <f t="shared" si="4"/>
        <v>3097.2736238179887</v>
      </c>
      <c r="N19" s="32">
        <f t="shared" si="5"/>
        <v>5356.401848182024</v>
      </c>
    </row>
    <row r="20" spans="1:14" x14ac:dyDescent="0.55000000000000004">
      <c r="A20" s="24">
        <v>45658</v>
      </c>
      <c r="B20" s="1" t="s">
        <v>23</v>
      </c>
      <c r="C20" s="32">
        <v>1478190.3680021302</v>
      </c>
      <c r="D20" s="32">
        <v>1166305.79968049</v>
      </c>
      <c r="E20" s="32">
        <v>1790074.9363237801</v>
      </c>
      <c r="F20" s="32">
        <f t="shared" si="0"/>
        <v>9661.4522452619221</v>
      </c>
      <c r="G20" s="32">
        <f t="shared" si="1"/>
        <v>7622.9747067116832</v>
      </c>
      <c r="H20" s="32">
        <f t="shared" si="2"/>
        <v>11699.929783812226</v>
      </c>
      <c r="I20" s="32">
        <v>673806.00000000093</v>
      </c>
      <c r="J20" s="32">
        <v>477930.43501255603</v>
      </c>
      <c r="K20" s="32">
        <v>869681.56498744595</v>
      </c>
      <c r="L20" s="32">
        <f t="shared" si="3"/>
        <v>4403.9960160000055</v>
      </c>
      <c r="M20" s="32">
        <f t="shared" si="4"/>
        <v>3123.753323242066</v>
      </c>
      <c r="N20" s="32">
        <f t="shared" si="5"/>
        <v>5684.2387087579464</v>
      </c>
    </row>
    <row r="21" spans="1:14" x14ac:dyDescent="0.55000000000000004">
      <c r="A21" s="24">
        <v>45748</v>
      </c>
      <c r="B21" s="1" t="s">
        <v>7</v>
      </c>
      <c r="C21" s="32">
        <v>1576801.0192374398</v>
      </c>
      <c r="D21" s="32">
        <v>1217669.1341381099</v>
      </c>
      <c r="E21" s="32">
        <v>1935932.9043367801</v>
      </c>
      <c r="F21" s="32">
        <f t="shared" si="0"/>
        <v>10305.971461735906</v>
      </c>
      <c r="G21" s="32">
        <f t="shared" si="1"/>
        <v>7958.6854607266851</v>
      </c>
      <c r="H21" s="32">
        <f t="shared" si="2"/>
        <v>12653.257462745194</v>
      </c>
      <c r="I21" s="32">
        <v>700911.00000000093</v>
      </c>
      <c r="J21" s="32">
        <v>481041.22361286299</v>
      </c>
      <c r="K21" s="32">
        <v>920780.77638713899</v>
      </c>
      <c r="L21" s="32">
        <f t="shared" si="3"/>
        <v>4581.1542960000052</v>
      </c>
      <c r="M21" s="32">
        <f t="shared" si="4"/>
        <v>3144.0854375336721</v>
      </c>
      <c r="N21" s="32">
        <f t="shared" si="5"/>
        <v>6018.22315446634</v>
      </c>
    </row>
    <row r="22" spans="1:14" x14ac:dyDescent="0.55000000000000004">
      <c r="A22" s="24">
        <v>45839</v>
      </c>
      <c r="B22" s="1" t="s">
        <v>14</v>
      </c>
      <c r="C22" s="32">
        <v>1676538.2987262302</v>
      </c>
      <c r="D22" s="32">
        <v>1267309.0439139002</v>
      </c>
      <c r="E22" s="32">
        <v>2085767.5535385602</v>
      </c>
      <c r="F22" s="32">
        <f t="shared" si="0"/>
        <v>10957.85432047464</v>
      </c>
      <c r="G22" s="32">
        <f t="shared" si="1"/>
        <v>8283.1319110212517</v>
      </c>
      <c r="H22" s="32">
        <f t="shared" si="2"/>
        <v>13632.576729928029</v>
      </c>
      <c r="I22" s="32">
        <v>728016.00000000093</v>
      </c>
      <c r="J22" s="32">
        <v>483246.89211529697</v>
      </c>
      <c r="K22" s="32">
        <v>972785.107884706</v>
      </c>
      <c r="L22" s="32">
        <f t="shared" si="3"/>
        <v>4758.3125760000057</v>
      </c>
      <c r="M22" s="32">
        <f t="shared" si="4"/>
        <v>3158.5016868655807</v>
      </c>
      <c r="N22" s="32">
        <f t="shared" si="5"/>
        <v>6358.1234651344375</v>
      </c>
    </row>
    <row r="23" spans="1:14" x14ac:dyDescent="0.55000000000000004">
      <c r="A23" s="24">
        <v>45931</v>
      </c>
      <c r="B23" s="1" t="s">
        <v>24</v>
      </c>
      <c r="C23" s="32">
        <v>1778145.6965630599</v>
      </c>
      <c r="D23" s="32">
        <v>1316011.1130217798</v>
      </c>
      <c r="E23" s="32">
        <v>2240280.2801043401</v>
      </c>
      <c r="F23" s="32">
        <f t="shared" si="0"/>
        <v>11621.960272736158</v>
      </c>
      <c r="G23" s="32">
        <f t="shared" si="1"/>
        <v>8601.4486347103521</v>
      </c>
      <c r="H23" s="32">
        <f t="shared" si="2"/>
        <v>14642.471910761966</v>
      </c>
      <c r="I23" s="32">
        <v>755121.00000000198</v>
      </c>
      <c r="J23" s="32">
        <v>484579.16808785498</v>
      </c>
      <c r="K23" s="32">
        <v>1025662.83191215</v>
      </c>
      <c r="L23" s="32">
        <f t="shared" si="3"/>
        <v>4935.4708560000126</v>
      </c>
      <c r="M23" s="32">
        <f t="shared" si="4"/>
        <v>3167.2094426222197</v>
      </c>
      <c r="N23" s="32">
        <f t="shared" si="5"/>
        <v>6703.7322693778124</v>
      </c>
    </row>
    <row r="24" spans="1:14" x14ac:dyDescent="0.55000000000000004">
      <c r="A24" s="24">
        <v>46023</v>
      </c>
      <c r="B24" s="1" t="s">
        <v>25</v>
      </c>
      <c r="C24" s="32">
        <v>1879478.49722752</v>
      </c>
      <c r="D24" s="32">
        <v>1361892.82904697</v>
      </c>
      <c r="E24" s="32">
        <v>2397064.16540808</v>
      </c>
      <c r="F24" s="32">
        <f t="shared" si="0"/>
        <v>12284.271457879071</v>
      </c>
      <c r="G24" s="32">
        <f t="shared" si="1"/>
        <v>8901.3315306509958</v>
      </c>
      <c r="H24" s="32">
        <f t="shared" si="2"/>
        <v>15667.21138510721</v>
      </c>
      <c r="I24" s="32">
        <v>782226.0000000021</v>
      </c>
      <c r="J24" s="32">
        <v>485066.66307039198</v>
      </c>
      <c r="K24" s="32">
        <v>1079385.33692961</v>
      </c>
      <c r="L24" s="32">
        <f t="shared" si="3"/>
        <v>5112.6291360000132</v>
      </c>
      <c r="M24" s="32">
        <f t="shared" si="4"/>
        <v>3170.3957098280821</v>
      </c>
      <c r="N24" s="32">
        <f t="shared" si="5"/>
        <v>7054.8625621719311</v>
      </c>
    </row>
    <row r="25" spans="1:14" x14ac:dyDescent="0.55000000000000004">
      <c r="A25" s="24">
        <v>46113</v>
      </c>
      <c r="B25" s="1" t="s">
        <v>8</v>
      </c>
      <c r="C25" s="32">
        <v>1981516.2635417001</v>
      </c>
      <c r="D25" s="32">
        <v>1405399.8783046701</v>
      </c>
      <c r="E25" s="32">
        <v>2557632.6487787399</v>
      </c>
      <c r="F25" s="32">
        <f t="shared" si="0"/>
        <v>12951.190298508551</v>
      </c>
      <c r="G25" s="32">
        <f t="shared" si="1"/>
        <v>9185.6936045993243</v>
      </c>
      <c r="H25" s="32">
        <f t="shared" si="2"/>
        <v>16716.686992417843</v>
      </c>
      <c r="I25" s="32">
        <v>809331.00000000198</v>
      </c>
      <c r="J25" s="32">
        <v>484735.35101242195</v>
      </c>
      <c r="K25" s="32">
        <v>1133926.6489875799</v>
      </c>
      <c r="L25" s="32">
        <f t="shared" si="3"/>
        <v>5289.7874160000119</v>
      </c>
      <c r="M25" s="32">
        <f t="shared" si="4"/>
        <v>3168.2302542171897</v>
      </c>
      <c r="N25" s="32">
        <f t="shared" si="5"/>
        <v>7411.344577782821</v>
      </c>
    </row>
    <row r="26" spans="1:14" x14ac:dyDescent="0.55000000000000004">
      <c r="A26" s="24">
        <v>46204</v>
      </c>
      <c r="B26" s="1" t="s">
        <v>15</v>
      </c>
      <c r="C26" s="32">
        <v>2084229.3364427402</v>
      </c>
      <c r="D26" s="32">
        <v>1446979.91258693</v>
      </c>
      <c r="E26" s="32">
        <v>2721478.7602985399</v>
      </c>
      <c r="F26" s="32">
        <f t="shared" si="0"/>
        <v>13622.522942989748</v>
      </c>
      <c r="G26" s="32">
        <f t="shared" si="1"/>
        <v>9457.4607086681735</v>
      </c>
      <c r="H26" s="32">
        <f t="shared" si="2"/>
        <v>17787.585177311255</v>
      </c>
      <c r="I26" s="32">
        <v>836436.00000000198</v>
      </c>
      <c r="J26" s="32">
        <v>483608.94987084204</v>
      </c>
      <c r="K26" s="32">
        <v>1189263.0501291601</v>
      </c>
      <c r="L26" s="32">
        <f t="shared" si="3"/>
        <v>5466.9456960000125</v>
      </c>
      <c r="M26" s="32">
        <f t="shared" si="4"/>
        <v>3160.8680963558231</v>
      </c>
      <c r="N26" s="32">
        <f t="shared" si="5"/>
        <v>7773.0232956441896</v>
      </c>
    </row>
    <row r="27" spans="1:14" x14ac:dyDescent="0.55000000000000004">
      <c r="A27" s="24">
        <v>46296</v>
      </c>
      <c r="B27" s="1" t="s">
        <v>26</v>
      </c>
      <c r="C27" s="32">
        <v>2188063.3674197402</v>
      </c>
      <c r="D27" s="32">
        <v>1487132.91738554</v>
      </c>
      <c r="E27" s="32">
        <v>2888993.8174539502</v>
      </c>
      <c r="F27" s="32">
        <f t="shared" si="0"/>
        <v>14301.18216945542</v>
      </c>
      <c r="G27" s="32">
        <f t="shared" si="1"/>
        <v>9719.9007480318887</v>
      </c>
      <c r="H27" s="32">
        <f t="shared" si="2"/>
        <v>18882.463590879015</v>
      </c>
      <c r="I27" s="32">
        <v>863541.00000000198</v>
      </c>
      <c r="J27" s="32">
        <v>481709.23017882399</v>
      </c>
      <c r="K27" s="32">
        <v>1245372.76982118</v>
      </c>
      <c r="L27" s="32">
        <f t="shared" si="3"/>
        <v>5644.1039760000131</v>
      </c>
      <c r="M27" s="32">
        <f t="shared" si="4"/>
        <v>3148.4515284487929</v>
      </c>
      <c r="N27" s="32">
        <f t="shared" si="5"/>
        <v>8139.7564235512318</v>
      </c>
    </row>
    <row r="28" spans="1:14" x14ac:dyDescent="0.55000000000000004">
      <c r="A28" s="24">
        <v>46388</v>
      </c>
      <c r="B28" s="1" t="s">
        <v>27</v>
      </c>
      <c r="C28" s="32">
        <v>2291732.8035174301</v>
      </c>
      <c r="D28" s="32">
        <v>1524743.14101344</v>
      </c>
      <c r="E28" s="32">
        <v>3058722.4660214102</v>
      </c>
      <c r="F28" s="32">
        <f t="shared" si="0"/>
        <v>14978.765603789921</v>
      </c>
      <c r="G28" s="32">
        <f t="shared" si="1"/>
        <v>9965.7211696638442</v>
      </c>
      <c r="H28" s="32">
        <f t="shared" si="2"/>
        <v>19991.810037915933</v>
      </c>
      <c r="I28" s="32">
        <v>890646.00000000198</v>
      </c>
      <c r="J28" s="32">
        <v>479056.26761561597</v>
      </c>
      <c r="K28" s="32">
        <v>1302235.73238439</v>
      </c>
      <c r="L28" s="32">
        <f t="shared" si="3"/>
        <v>5821.2622560000127</v>
      </c>
      <c r="M28" s="32">
        <f t="shared" si="4"/>
        <v>3131.1117651356658</v>
      </c>
      <c r="N28" s="32">
        <f t="shared" si="5"/>
        <v>8511.4127468643728</v>
      </c>
    </row>
    <row r="29" spans="1:14" x14ac:dyDescent="0.55000000000000004">
      <c r="A29" s="24">
        <v>46478</v>
      </c>
      <c r="B29" s="1" t="s">
        <v>9</v>
      </c>
      <c r="C29" s="32">
        <v>2395824.79947798</v>
      </c>
      <c r="D29" s="32">
        <v>1560136.8866452598</v>
      </c>
      <c r="E29" s="32">
        <v>3231512.71231069</v>
      </c>
      <c r="F29" s="32">
        <f t="shared" si="0"/>
        <v>15659.110889388076</v>
      </c>
      <c r="G29" s="32">
        <f t="shared" si="1"/>
        <v>10197.054691113417</v>
      </c>
      <c r="H29" s="32">
        <f t="shared" si="2"/>
        <v>21121.167087662667</v>
      </c>
      <c r="I29" s="32">
        <v>917751.00000000198</v>
      </c>
      <c r="J29" s="32">
        <v>475668.65199448197</v>
      </c>
      <c r="K29" s="32">
        <v>1359833.3480055202</v>
      </c>
      <c r="L29" s="32">
        <f t="shared" si="3"/>
        <v>5998.4205360000124</v>
      </c>
      <c r="M29" s="32">
        <f t="shared" si="4"/>
        <v>3108.9703094359343</v>
      </c>
      <c r="N29" s="32">
        <f t="shared" si="5"/>
        <v>8887.8707625640782</v>
      </c>
    </row>
    <row r="30" spans="1:14" x14ac:dyDescent="0.55000000000000004">
      <c r="A30" s="24">
        <v>46569</v>
      </c>
      <c r="B30" s="1" t="s">
        <v>16</v>
      </c>
      <c r="C30" s="32">
        <v>2500321.5775201302</v>
      </c>
      <c r="D30" s="32">
        <v>1593573.7531327701</v>
      </c>
      <c r="E30" s="32">
        <v>3407069.4019074901</v>
      </c>
      <c r="F30" s="32">
        <f t="shared" si="0"/>
        <v>16342.101830671569</v>
      </c>
      <c r="G30" s="32">
        <f t="shared" si="1"/>
        <v>10415.598050475784</v>
      </c>
      <c r="H30" s="32">
        <f t="shared" si="2"/>
        <v>22268.605610867351</v>
      </c>
      <c r="I30" s="32">
        <v>944856.0000000021</v>
      </c>
      <c r="J30" s="32">
        <v>471563.66188005998</v>
      </c>
      <c r="K30" s="32">
        <v>1418148.3381199501</v>
      </c>
      <c r="L30" s="32">
        <f t="shared" si="3"/>
        <v>6175.5788160000138</v>
      </c>
      <c r="M30" s="32">
        <f t="shared" si="4"/>
        <v>3082.1400940480717</v>
      </c>
      <c r="N30" s="32">
        <f t="shared" si="5"/>
        <v>9269.0175379519933</v>
      </c>
    </row>
    <row r="31" spans="1:14" x14ac:dyDescent="0.55000000000000004">
      <c r="A31" s="24">
        <v>46661</v>
      </c>
      <c r="B31" s="1" t="s">
        <v>28</v>
      </c>
      <c r="C31" s="32">
        <v>2605490.2633294798</v>
      </c>
      <c r="D31" s="32">
        <v>1625373.15939566</v>
      </c>
      <c r="E31" s="32">
        <v>3585607.3672632901</v>
      </c>
      <c r="F31" s="32">
        <f t="shared" si="0"/>
        <v>17029.484361121478</v>
      </c>
      <c r="G31" s="32">
        <f t="shared" si="1"/>
        <v>10623.438969810033</v>
      </c>
      <c r="H31" s="32">
        <f t="shared" si="2"/>
        <v>23435.529752432863</v>
      </c>
      <c r="I31" s="32">
        <v>971961.00000000303</v>
      </c>
      <c r="J31" s="32">
        <v>466757.41177447297</v>
      </c>
      <c r="K31" s="32">
        <v>1477164.58822553</v>
      </c>
      <c r="L31" s="32">
        <f t="shared" si="3"/>
        <v>6352.7370960000189</v>
      </c>
      <c r="M31" s="32">
        <f t="shared" si="4"/>
        <v>3050.7264433579553</v>
      </c>
      <c r="N31" s="32">
        <f t="shared" si="5"/>
        <v>9654.747748642063</v>
      </c>
    </row>
    <row r="32" spans="1:14" x14ac:dyDescent="0.55000000000000004">
      <c r="A32" s="24">
        <v>46753</v>
      </c>
      <c r="B32" s="1" t="s">
        <v>29</v>
      </c>
      <c r="C32" s="32">
        <v>2710560.2901612399</v>
      </c>
      <c r="D32" s="32">
        <v>1654878.4599606299</v>
      </c>
      <c r="E32" s="32">
        <v>3766242.1203618599</v>
      </c>
      <c r="F32" s="32">
        <f t="shared" si="0"/>
        <v>17716.222056493865</v>
      </c>
      <c r="G32" s="32">
        <f t="shared" si="1"/>
        <v>10816.285614302678</v>
      </c>
      <c r="H32" s="32">
        <f t="shared" si="2"/>
        <v>24616.158498685112</v>
      </c>
      <c r="I32" s="32">
        <v>999066.00000000303</v>
      </c>
      <c r="J32" s="32">
        <v>461264.97717316</v>
      </c>
      <c r="K32" s="32">
        <v>1536867.0228268499</v>
      </c>
      <c r="L32" s="32">
        <f t="shared" si="3"/>
        <v>6529.8953760000186</v>
      </c>
      <c r="M32" s="32">
        <f t="shared" si="4"/>
        <v>3014.8278908037737</v>
      </c>
      <c r="N32" s="32">
        <f t="shared" si="5"/>
        <v>10044.962861196291</v>
      </c>
    </row>
    <row r="33" spans="1:14" x14ac:dyDescent="0.55000000000000004">
      <c r="A33" s="24">
        <v>46844</v>
      </c>
      <c r="B33" s="1" t="s">
        <v>10</v>
      </c>
      <c r="C33" s="32">
        <v>2815883.6014469299</v>
      </c>
      <c r="D33" s="32">
        <v>1682318.65199362</v>
      </c>
      <c r="E33" s="32">
        <v>3949448.5509002502</v>
      </c>
      <c r="F33" s="32">
        <f t="shared" si="0"/>
        <v>18404.615219057134</v>
      </c>
      <c r="G33" s="32">
        <f t="shared" si="1"/>
        <v>10995.6347094303</v>
      </c>
      <c r="H33" s="32">
        <f t="shared" si="2"/>
        <v>25813.595728684035</v>
      </c>
      <c r="I33" s="32">
        <v>1026171</v>
      </c>
      <c r="J33" s="32">
        <v>455100.50159128505</v>
      </c>
      <c r="K33" s="32">
        <v>1597241.4984087199</v>
      </c>
      <c r="L33" s="32">
        <f t="shared" si="3"/>
        <v>6707.0536559999991</v>
      </c>
      <c r="M33" s="32">
        <f t="shared" si="4"/>
        <v>2974.5368784006387</v>
      </c>
      <c r="N33" s="32">
        <f t="shared" si="5"/>
        <v>10439.570433599392</v>
      </c>
    </row>
    <row r="34" spans="1:14" x14ac:dyDescent="0.55000000000000004">
      <c r="A34" s="24">
        <v>46935</v>
      </c>
      <c r="B34" s="1" t="s">
        <v>17</v>
      </c>
      <c r="C34" s="32">
        <v>2921449.5410974002</v>
      </c>
      <c r="D34" s="32">
        <v>1707851.84870995</v>
      </c>
      <c r="E34" s="32">
        <v>4135047.2334848503</v>
      </c>
      <c r="F34" s="32">
        <f t="shared" si="0"/>
        <v>19094.594200612606</v>
      </c>
      <c r="G34" s="32">
        <f t="shared" si="1"/>
        <v>11162.519683168233</v>
      </c>
      <c r="H34" s="32">
        <f t="shared" si="2"/>
        <v>27026.668718056982</v>
      </c>
      <c r="I34" s="32">
        <v>1053276</v>
      </c>
      <c r="J34" s="32">
        <v>448277.28876972402</v>
      </c>
      <c r="K34" s="32">
        <v>1658274.7112302799</v>
      </c>
      <c r="L34" s="32">
        <f t="shared" si="3"/>
        <v>6884.2119359999997</v>
      </c>
      <c r="M34" s="32">
        <f t="shared" si="4"/>
        <v>2929.9403593989159</v>
      </c>
      <c r="N34" s="32">
        <f t="shared" si="5"/>
        <v>10838.483512601109</v>
      </c>
    </row>
    <row r="35" spans="1:14" x14ac:dyDescent="0.55000000000000004">
      <c r="A35" s="24">
        <v>47027</v>
      </c>
      <c r="B35" s="1" t="s">
        <v>30</v>
      </c>
      <c r="C35" s="32">
        <v>3027418.2255585101</v>
      </c>
      <c r="D35" s="32">
        <v>1731684.2915269102</v>
      </c>
      <c r="E35" s="32">
        <v>4323152.1595901204</v>
      </c>
      <c r="F35" s="32">
        <f t="shared" si="0"/>
        <v>19787.20552225042</v>
      </c>
      <c r="G35" s="32">
        <f t="shared" si="1"/>
        <v>11318.288529419886</v>
      </c>
      <c r="H35" s="32">
        <f t="shared" si="2"/>
        <v>28256.122515081028</v>
      </c>
      <c r="I35" s="32">
        <v>1080381</v>
      </c>
      <c r="J35" s="32">
        <v>440807.88259828999</v>
      </c>
      <c r="K35" s="32">
        <v>1719954.11740172</v>
      </c>
      <c r="L35" s="32">
        <f t="shared" si="3"/>
        <v>7061.3702159999993</v>
      </c>
      <c r="M35" s="32">
        <f t="shared" si="4"/>
        <v>2881.1203206624232</v>
      </c>
      <c r="N35" s="32">
        <f t="shared" si="5"/>
        <v>11241.620111337641</v>
      </c>
    </row>
    <row r="36" spans="1:14" x14ac:dyDescent="0.55000000000000004">
      <c r="A36" s="24">
        <v>47119</v>
      </c>
      <c r="B36" s="1" t="s">
        <v>31</v>
      </c>
      <c r="C36" s="32">
        <v>3133327.7733446499</v>
      </c>
      <c r="D36" s="32">
        <v>1753433.3928901402</v>
      </c>
      <c r="E36" s="32">
        <v>4513222.1537991604</v>
      </c>
      <c r="F36" s="32">
        <f t="shared" si="0"/>
        <v>20479.43032658063</v>
      </c>
      <c r="G36" s="32">
        <f t="shared" si="1"/>
        <v>11460.440655929957</v>
      </c>
      <c r="H36" s="32">
        <f t="shared" si="2"/>
        <v>29498.419997231307</v>
      </c>
      <c r="I36" s="32">
        <v>1107486</v>
      </c>
      <c r="J36" s="32">
        <v>432704.13678232499</v>
      </c>
      <c r="K36" s="32">
        <v>1782267.86321768</v>
      </c>
      <c r="L36" s="32">
        <f t="shared" si="3"/>
        <v>7238.5284959999999</v>
      </c>
      <c r="M36" s="32">
        <f t="shared" si="4"/>
        <v>2828.154238009276</v>
      </c>
      <c r="N36" s="32">
        <f t="shared" si="5"/>
        <v>11648.902753990757</v>
      </c>
    </row>
    <row r="37" spans="1:14" x14ac:dyDescent="0.55000000000000004">
      <c r="A37" s="24">
        <v>47209</v>
      </c>
      <c r="B37" s="1" t="s">
        <v>32</v>
      </c>
      <c r="C37" s="32">
        <v>3239389.1410745601</v>
      </c>
      <c r="D37" s="32">
        <v>1773257.3831136101</v>
      </c>
      <c r="E37" s="32">
        <v>4705520.8990355209</v>
      </c>
      <c r="F37" s="32">
        <f t="shared" si="0"/>
        <v>21172.647426063326</v>
      </c>
      <c r="G37" s="32">
        <f t="shared" si="1"/>
        <v>11590.010256030555</v>
      </c>
      <c r="H37" s="32">
        <f t="shared" si="2"/>
        <v>30755.28459609616</v>
      </c>
      <c r="I37" s="32">
        <v>1134591</v>
      </c>
      <c r="J37" s="32">
        <v>423977.27588483901</v>
      </c>
      <c r="K37" s="32">
        <v>1845204.7241151698</v>
      </c>
      <c r="L37" s="32">
        <f t="shared" si="3"/>
        <v>7415.6867759999996</v>
      </c>
      <c r="M37" s="32">
        <f t="shared" si="4"/>
        <v>2771.1154751833074</v>
      </c>
      <c r="N37" s="32">
        <f t="shared" si="5"/>
        <v>12060.258076816748</v>
      </c>
    </row>
    <row r="38" spans="1:14" x14ac:dyDescent="0.55000000000000004">
      <c r="A38" s="24">
        <v>47300</v>
      </c>
      <c r="B38" s="1" t="s">
        <v>33</v>
      </c>
      <c r="C38" s="32">
        <v>3345595.9414361701</v>
      </c>
      <c r="D38" s="32">
        <v>1791257.2781967202</v>
      </c>
      <c r="E38" s="32">
        <v>4899934.6046756096</v>
      </c>
      <c r="F38" s="32">
        <f t="shared" si="0"/>
        <v>21866.815073226808</v>
      </c>
      <c r="G38" s="32">
        <f t="shared" si="1"/>
        <v>11707.657570293763</v>
      </c>
      <c r="H38" s="32">
        <f t="shared" si="2"/>
        <v>32025.972576159784</v>
      </c>
      <c r="I38" s="32">
        <v>1161696</v>
      </c>
      <c r="J38" s="32">
        <v>414637.949069792</v>
      </c>
      <c r="K38" s="32">
        <v>1908754.0509302199</v>
      </c>
      <c r="L38" s="32">
        <f t="shared" si="3"/>
        <v>7592.8450559999992</v>
      </c>
      <c r="M38" s="32">
        <f t="shared" si="4"/>
        <v>2710.0736351201604</v>
      </c>
      <c r="N38" s="32">
        <f t="shared" si="5"/>
        <v>12475.616476879915</v>
      </c>
    </row>
    <row r="39" spans="1:14" x14ac:dyDescent="0.55000000000000004">
      <c r="A39" s="24">
        <v>47392</v>
      </c>
      <c r="B39" s="1" t="s">
        <v>34</v>
      </c>
      <c r="C39" s="32">
        <v>3452044.1490122997</v>
      </c>
      <c r="D39" s="32">
        <v>1807568.4185572199</v>
      </c>
      <c r="E39" s="32">
        <v>5096519.8794673895</v>
      </c>
      <c r="F39" s="32">
        <f t="shared" si="0"/>
        <v>22562.560557944387</v>
      </c>
      <c r="G39" s="32">
        <f t="shared" si="1"/>
        <v>11814.26718368999</v>
      </c>
      <c r="H39" s="32">
        <f t="shared" si="2"/>
        <v>33310.853932198857</v>
      </c>
      <c r="I39" s="32">
        <v>1188801</v>
      </c>
      <c r="J39" s="32">
        <v>404696.27763137099</v>
      </c>
      <c r="K39" s="32">
        <v>1972905.7223686399</v>
      </c>
      <c r="L39" s="32">
        <f t="shared" si="3"/>
        <v>7770.0033359999989</v>
      </c>
      <c r="M39" s="32">
        <f t="shared" si="4"/>
        <v>2645.0948705986402</v>
      </c>
      <c r="N39" s="32">
        <f t="shared" si="5"/>
        <v>12894.911801401431</v>
      </c>
    </row>
    <row r="40" spans="1:14" x14ac:dyDescent="0.55000000000000004">
      <c r="A40" s="24">
        <v>47484</v>
      </c>
      <c r="B40" s="1" t="s">
        <v>35</v>
      </c>
      <c r="C40" s="32">
        <v>3558456.9097754601</v>
      </c>
      <c r="D40" s="32">
        <v>1821971.1991290501</v>
      </c>
      <c r="E40" s="32">
        <v>5294942.6204218697</v>
      </c>
      <c r="F40" s="32">
        <f t="shared" si="0"/>
        <v>23258.074362292406</v>
      </c>
      <c r="G40" s="32">
        <f t="shared" si="1"/>
        <v>11908.403757507471</v>
      </c>
      <c r="H40" s="32">
        <f t="shared" si="2"/>
        <v>34607.744967077335</v>
      </c>
      <c r="I40" s="32">
        <v>1215906</v>
      </c>
      <c r="J40" s="32">
        <v>394161.89720336499</v>
      </c>
      <c r="K40" s="32">
        <v>2037650.10279664</v>
      </c>
      <c r="L40" s="32">
        <f t="shared" si="3"/>
        <v>7947.1616160000003</v>
      </c>
      <c r="M40" s="32">
        <f t="shared" si="4"/>
        <v>2576.2421601211936</v>
      </c>
      <c r="N40" s="32">
        <f t="shared" si="5"/>
        <v>13318.08107187884</v>
      </c>
    </row>
    <row r="41" spans="1:14" x14ac:dyDescent="0.55000000000000004">
      <c r="A41" s="24">
        <v>47574</v>
      </c>
      <c r="B41" s="1" t="s">
        <v>36</v>
      </c>
      <c r="C41" s="32">
        <v>3664960.6721574399</v>
      </c>
      <c r="D41" s="32">
        <v>1834574.9061899201</v>
      </c>
      <c r="E41" s="32">
        <v>5495346.43812495</v>
      </c>
      <c r="F41" s="32">
        <f t="shared" si="0"/>
        <v>23954.182953221025</v>
      </c>
      <c r="G41" s="32">
        <f t="shared" si="1"/>
        <v>11990.781586857316</v>
      </c>
      <c r="H41" s="32">
        <f t="shared" si="2"/>
        <v>35917.584319584676</v>
      </c>
      <c r="I41" s="32">
        <v>1243011</v>
      </c>
      <c r="J41" s="32">
        <v>383043.99539039098</v>
      </c>
      <c r="K41" s="32">
        <v>2102978.0046096197</v>
      </c>
      <c r="L41" s="32">
        <f t="shared" si="3"/>
        <v>8124.319896</v>
      </c>
      <c r="M41" s="32">
        <f t="shared" si="4"/>
        <v>2503.5755538715953</v>
      </c>
      <c r="N41" s="32">
        <f t="shared" si="5"/>
        <v>13745.064238128474</v>
      </c>
    </row>
    <row r="42" spans="1:14" x14ac:dyDescent="0.55000000000000004">
      <c r="A42" s="24">
        <v>47665</v>
      </c>
      <c r="B42" s="1" t="s">
        <v>37</v>
      </c>
      <c r="C42" s="32">
        <v>3771551.6075720401</v>
      </c>
      <c r="D42" s="32">
        <v>1845447.2431832401</v>
      </c>
      <c r="E42" s="32">
        <v>5697655.9719608407</v>
      </c>
      <c r="F42" s="32">
        <f t="shared" si="0"/>
        <v>24650.86130709085</v>
      </c>
      <c r="G42" s="32">
        <f t="shared" si="1"/>
        <v>12061.843181445656</v>
      </c>
      <c r="H42" s="32">
        <f t="shared" si="2"/>
        <v>37239.879432736052</v>
      </c>
      <c r="I42" s="32">
        <v>1270116.00000001</v>
      </c>
      <c r="J42" s="32">
        <v>371351.34544013604</v>
      </c>
      <c r="K42" s="32">
        <v>2168880.6545598698</v>
      </c>
      <c r="L42" s="32">
        <f t="shared" si="3"/>
        <v>8301.4781760000642</v>
      </c>
      <c r="M42" s="32">
        <f t="shared" si="4"/>
        <v>2427.152393796729</v>
      </c>
      <c r="N42" s="32">
        <f t="shared" si="5"/>
        <v>14175.803958203309</v>
      </c>
    </row>
    <row r="43" spans="1:14" x14ac:dyDescent="0.55000000000000004">
      <c r="A43" s="24">
        <v>47757</v>
      </c>
      <c r="B43" s="1" t="s">
        <v>38</v>
      </c>
      <c r="C43" s="32">
        <v>3878287.2436548802</v>
      </c>
      <c r="D43" s="32">
        <v>1854678.9585933599</v>
      </c>
      <c r="E43" s="32">
        <v>5901895.5287164003</v>
      </c>
      <c r="F43" s="32">
        <f t="shared" si="0"/>
        <v>25348.485424528295</v>
      </c>
      <c r="G43" s="32">
        <f t="shared" si="1"/>
        <v>12122.1816733662</v>
      </c>
      <c r="H43" s="32">
        <f t="shared" si="2"/>
        <v>38574.789175690392</v>
      </c>
      <c r="I43" s="32">
        <v>1297221.00000001</v>
      </c>
      <c r="J43" s="32">
        <v>359092.33647643495</v>
      </c>
      <c r="K43" s="32">
        <v>2235349.6635235799</v>
      </c>
      <c r="L43" s="32">
        <f t="shared" si="3"/>
        <v>8478.6364560000638</v>
      </c>
      <c r="M43" s="32">
        <f t="shared" si="4"/>
        <v>2347.0275112099789</v>
      </c>
      <c r="N43" s="32">
        <f t="shared" si="5"/>
        <v>14610.245400790118</v>
      </c>
    </row>
    <row r="44" spans="1:14" x14ac:dyDescent="0.55000000000000004">
      <c r="A44" s="24">
        <v>47849</v>
      </c>
      <c r="B44" s="1" t="s">
        <v>39</v>
      </c>
      <c r="C44" s="32">
        <v>3985001.6327442001</v>
      </c>
      <c r="D44" s="32">
        <v>1862146.91897063</v>
      </c>
      <c r="E44" s="32">
        <v>6107856.3465177706</v>
      </c>
      <c r="F44" s="32">
        <f t="shared" si="0"/>
        <v>26045.970671616091</v>
      </c>
      <c r="G44" s="32">
        <f t="shared" si="1"/>
        <v>12170.992262392037</v>
      </c>
      <c r="H44" s="32">
        <f t="shared" si="2"/>
        <v>39920.949080840146</v>
      </c>
      <c r="I44" s="32">
        <v>1324326.00000001</v>
      </c>
      <c r="J44" s="32">
        <v>346275.00073195697</v>
      </c>
      <c r="K44" s="32">
        <v>2302376.9992680498</v>
      </c>
      <c r="L44" s="32">
        <f t="shared" si="3"/>
        <v>8655.7947360000653</v>
      </c>
      <c r="M44" s="32">
        <f t="shared" si="4"/>
        <v>2263.2534047840709</v>
      </c>
      <c r="N44" s="32">
        <f t="shared" si="5"/>
        <v>15048.336067215972</v>
      </c>
    </row>
    <row r="45" spans="1:14" x14ac:dyDescent="0.55000000000000004">
      <c r="A45" s="24">
        <v>47939</v>
      </c>
      <c r="B45" s="1" t="s">
        <v>40</v>
      </c>
      <c r="C45" s="32">
        <v>4091770.5686500999</v>
      </c>
      <c r="D45" s="32">
        <v>1867927.36769457</v>
      </c>
      <c r="E45" s="32">
        <v>6315613.7696056198</v>
      </c>
      <c r="F45" s="32">
        <f t="shared" si="0"/>
        <v>26743.812436697051</v>
      </c>
      <c r="G45" s="32">
        <f t="shared" si="1"/>
        <v>12208.773275251708</v>
      </c>
      <c r="H45" s="32">
        <f t="shared" si="2"/>
        <v>41278.851598142326</v>
      </c>
      <c r="I45" s="32">
        <v>1351431.00000001</v>
      </c>
      <c r="J45" s="32">
        <v>332907.03815274598</v>
      </c>
      <c r="K45" s="32">
        <v>2369954.9618472704</v>
      </c>
      <c r="L45" s="32">
        <f t="shared" si="3"/>
        <v>8832.953016000065</v>
      </c>
      <c r="M45" s="32">
        <f t="shared" si="4"/>
        <v>2175.8804013663475</v>
      </c>
      <c r="N45" s="32">
        <f t="shared" si="5"/>
        <v>15490.02563063376</v>
      </c>
    </row>
    <row r="46" spans="1:14" x14ac:dyDescent="0.55000000000000004">
      <c r="A46" s="24">
        <v>48030</v>
      </c>
      <c r="B46" s="1" t="s">
        <v>41</v>
      </c>
      <c r="C46" s="32">
        <v>4198591.7564992495</v>
      </c>
      <c r="D46" s="32">
        <v>1872067.8886036701</v>
      </c>
      <c r="E46" s="32">
        <v>6525115.6243948303</v>
      </c>
      <c r="F46" s="32">
        <f t="shared" si="0"/>
        <v>27441.995720479092</v>
      </c>
      <c r="G46" s="32">
        <f t="shared" si="1"/>
        <v>12235.835719913586</v>
      </c>
      <c r="H46" s="32">
        <f t="shared" si="2"/>
        <v>42648.155721044604</v>
      </c>
      <c r="I46" s="32">
        <v>1378536.00000001</v>
      </c>
      <c r="J46" s="32">
        <v>318995.83869192598</v>
      </c>
      <c r="K46" s="32">
        <v>2438076.1613080897</v>
      </c>
      <c r="L46" s="32">
        <f t="shared" si="3"/>
        <v>9010.1112960000646</v>
      </c>
      <c r="M46" s="32">
        <f t="shared" si="4"/>
        <v>2084.9568016904282</v>
      </c>
      <c r="N46" s="32">
        <f t="shared" si="5"/>
        <v>15935.265790309673</v>
      </c>
    </row>
    <row r="47" spans="1:14" x14ac:dyDescent="0.55000000000000004">
      <c r="A47" s="24">
        <v>48122</v>
      </c>
      <c r="B47" s="1" t="s">
        <v>42</v>
      </c>
      <c r="C47" s="32">
        <v>4305499.6786385505</v>
      </c>
      <c r="D47" s="32">
        <v>1874630.9764749301</v>
      </c>
      <c r="E47" s="32">
        <v>6736368.3808021694</v>
      </c>
      <c r="F47" s="32">
        <f t="shared" si="0"/>
        <v>28140.745899581565</v>
      </c>
      <c r="G47" s="32">
        <f t="shared" si="1"/>
        <v>12252.588062240142</v>
      </c>
      <c r="H47" s="32">
        <f t="shared" si="2"/>
        <v>44028.903736922977</v>
      </c>
      <c r="I47" s="32">
        <v>1405641.00000001</v>
      </c>
      <c r="J47" s="32">
        <v>304548.50256431598</v>
      </c>
      <c r="K47" s="32">
        <v>2506733.4974357001</v>
      </c>
      <c r="L47" s="32">
        <f t="shared" si="3"/>
        <v>9187.2695760000643</v>
      </c>
      <c r="M47" s="32">
        <f t="shared" si="4"/>
        <v>1990.5290127603691</v>
      </c>
      <c r="N47" s="32">
        <f t="shared" si="5"/>
        <v>16384.010139239734</v>
      </c>
    </row>
    <row r="48" spans="1:14" x14ac:dyDescent="0.55000000000000004">
      <c r="A48" s="24">
        <v>48214</v>
      </c>
      <c r="B48" s="1" t="s">
        <v>43</v>
      </c>
      <c r="C48" s="32">
        <v>4412394.8652257407</v>
      </c>
      <c r="D48" s="32">
        <v>1875550.24920344</v>
      </c>
      <c r="E48" s="32">
        <v>6949239.4812480295</v>
      </c>
      <c r="F48" s="32">
        <f t="shared" si="0"/>
        <v>28839.412839115437</v>
      </c>
      <c r="G48" s="32">
        <f t="shared" si="1"/>
        <v>12258.596428793682</v>
      </c>
      <c r="H48" s="32">
        <f t="shared" si="2"/>
        <v>45420.229249437114</v>
      </c>
      <c r="I48" s="32">
        <v>1432746.00000001</v>
      </c>
      <c r="J48" s="32">
        <v>289571.85869559698</v>
      </c>
      <c r="K48" s="32">
        <v>2575920.1413044203</v>
      </c>
      <c r="L48" s="32">
        <f t="shared" si="3"/>
        <v>9364.4278560000639</v>
      </c>
      <c r="M48" s="32">
        <f t="shared" si="4"/>
        <v>1892.6416684344219</v>
      </c>
      <c r="N48" s="32">
        <f t="shared" si="5"/>
        <v>16836.214043565691</v>
      </c>
    </row>
    <row r="49" spans="1:14" x14ac:dyDescent="0.55000000000000004">
      <c r="A49" s="24">
        <v>48305</v>
      </c>
      <c r="B49" s="1" t="s">
        <v>44</v>
      </c>
      <c r="C49" s="32">
        <v>4519322.7474422799</v>
      </c>
      <c r="D49" s="32">
        <v>1874879.8716486299</v>
      </c>
      <c r="E49" s="32">
        <v>7163765.6232359204</v>
      </c>
      <c r="F49" s="32">
        <f t="shared" si="0"/>
        <v>29538.293477282739</v>
      </c>
      <c r="G49" s="32">
        <f t="shared" si="1"/>
        <v>12254.214841095445</v>
      </c>
      <c r="H49" s="32">
        <f t="shared" si="2"/>
        <v>46822.372113469966</v>
      </c>
      <c r="I49" s="32">
        <v>1459851.0000000098</v>
      </c>
      <c r="J49" s="32">
        <v>274072.48156780005</v>
      </c>
      <c r="K49" s="32">
        <v>2645629.5184322097</v>
      </c>
      <c r="L49" s="32">
        <f t="shared" si="3"/>
        <v>9541.5861360000636</v>
      </c>
      <c r="M49" s="32">
        <f t="shared" si="4"/>
        <v>1791.3377395271411</v>
      </c>
      <c r="N49" s="32">
        <f t="shared" si="5"/>
        <v>17291.834532472923</v>
      </c>
    </row>
    <row r="50" spans="1:14" x14ac:dyDescent="0.55000000000000004">
      <c r="A50" s="24">
        <v>48396</v>
      </c>
      <c r="B50" s="1" t="s">
        <v>45</v>
      </c>
      <c r="C50" s="32">
        <v>4626281.9497298393</v>
      </c>
      <c r="D50" s="32">
        <v>1872654.8476645499</v>
      </c>
      <c r="E50" s="32">
        <v>7379909.0517951297</v>
      </c>
      <c r="F50" s="32">
        <f t="shared" si="0"/>
        <v>30237.378823434225</v>
      </c>
      <c r="G50" s="32">
        <f t="shared" si="1"/>
        <v>12239.672084335498</v>
      </c>
      <c r="H50" s="32">
        <f t="shared" si="2"/>
        <v>48235.085562532964</v>
      </c>
      <c r="I50" s="32">
        <v>1486956.00000001</v>
      </c>
      <c r="J50" s="32">
        <v>258056.70663599198</v>
      </c>
      <c r="K50" s="32">
        <v>2715855.2933640201</v>
      </c>
      <c r="L50" s="32">
        <f t="shared" si="3"/>
        <v>9718.744416000065</v>
      </c>
      <c r="M50" s="32">
        <f t="shared" si="4"/>
        <v>1686.6586345728435</v>
      </c>
      <c r="N50" s="32">
        <f t="shared" si="5"/>
        <v>17750.830197427233</v>
      </c>
    </row>
    <row r="51" spans="1:14" x14ac:dyDescent="0.55000000000000004">
      <c r="A51" s="24">
        <v>48488</v>
      </c>
      <c r="B51" s="1" t="s">
        <v>46</v>
      </c>
      <c r="C51" s="32">
        <v>4733293.1409762595</v>
      </c>
      <c r="D51" s="32">
        <v>1868919.57744707</v>
      </c>
      <c r="E51" s="32">
        <v>7597666.7045054603</v>
      </c>
      <c r="F51" s="32">
        <f t="shared" si="0"/>
        <v>30936.803969420827</v>
      </c>
      <c r="G51" s="32">
        <f t="shared" si="1"/>
        <v>12215.258358194049</v>
      </c>
      <c r="H51" s="32">
        <f t="shared" si="2"/>
        <v>49658.349580647686</v>
      </c>
      <c r="I51" s="32">
        <v>1514061.00000001</v>
      </c>
      <c r="J51" s="32">
        <v>241530.64446825901</v>
      </c>
      <c r="K51" s="32">
        <v>2786591.35553176</v>
      </c>
      <c r="L51" s="32">
        <f t="shared" si="3"/>
        <v>9895.9026960000647</v>
      </c>
      <c r="M51" s="32">
        <f t="shared" si="4"/>
        <v>1578.6442922445408</v>
      </c>
      <c r="N51" s="32">
        <f t="shared" si="5"/>
        <v>18213.161099755584</v>
      </c>
    </row>
  </sheetData>
  <mergeCells count="8">
    <mergeCell ref="I6:N6"/>
    <mergeCell ref="I7:K7"/>
    <mergeCell ref="L7:N7"/>
    <mergeCell ref="C7:E7"/>
    <mergeCell ref="A1:B1"/>
    <mergeCell ref="A2:B2"/>
    <mergeCell ref="F7:H7"/>
    <mergeCell ref="C6:H6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45EC-9E93-402C-90C5-0D6A911EF4D5}">
  <dimension ref="A2:F35"/>
  <sheetViews>
    <sheetView workbookViewId="0">
      <selection activeCell="B5" sqref="B5:E35"/>
    </sheetView>
  </sheetViews>
  <sheetFormatPr defaultRowHeight="14.4" x14ac:dyDescent="0.55000000000000004"/>
  <cols>
    <col min="1" max="1" width="11.734375" customWidth="1"/>
    <col min="2" max="2" width="10.7890625" bestFit="1" customWidth="1"/>
    <col min="3" max="3" width="12.26171875" bestFit="1" customWidth="1"/>
    <col min="4" max="4" width="13.20703125" customWidth="1"/>
    <col min="5" max="5" width="14.3671875" customWidth="1"/>
    <col min="6" max="6" width="11.83984375" customWidth="1"/>
  </cols>
  <sheetData>
    <row r="2" spans="1:6" ht="18.3" x14ac:dyDescent="0.7">
      <c r="A2" s="22" t="s">
        <v>93</v>
      </c>
      <c r="E2" t="s">
        <v>99</v>
      </c>
    </row>
    <row r="4" spans="1:6" x14ac:dyDescent="0.55000000000000004">
      <c r="A4" s="2" t="s">
        <v>98</v>
      </c>
      <c r="B4" s="2" t="s">
        <v>94</v>
      </c>
      <c r="C4" s="2" t="s">
        <v>95</v>
      </c>
      <c r="D4" s="2" t="s">
        <v>96</v>
      </c>
      <c r="E4" s="2" t="s">
        <v>97</v>
      </c>
      <c r="F4" s="26"/>
    </row>
    <row r="5" spans="1:6" x14ac:dyDescent="0.55000000000000004">
      <c r="A5" s="24">
        <v>41821</v>
      </c>
      <c r="B5" s="32">
        <v>10607</v>
      </c>
      <c r="C5" s="32">
        <v>180667</v>
      </c>
      <c r="D5" s="32">
        <v>13</v>
      </c>
      <c r="E5" s="32">
        <v>6284</v>
      </c>
      <c r="F5" s="27"/>
    </row>
    <row r="6" spans="1:6" x14ac:dyDescent="0.55000000000000004">
      <c r="A6" s="24">
        <v>41913</v>
      </c>
      <c r="B6" s="32">
        <v>12364</v>
      </c>
      <c r="C6" s="32">
        <v>184677</v>
      </c>
      <c r="D6" s="32">
        <v>16</v>
      </c>
      <c r="E6" s="32">
        <v>9691</v>
      </c>
      <c r="F6" s="27"/>
    </row>
    <row r="7" spans="1:6" x14ac:dyDescent="0.55000000000000004">
      <c r="A7" s="24">
        <v>42005</v>
      </c>
      <c r="B7" s="32">
        <v>14584</v>
      </c>
      <c r="C7" s="32">
        <v>194131</v>
      </c>
      <c r="D7" s="32">
        <v>17</v>
      </c>
      <c r="E7" s="32">
        <v>15447</v>
      </c>
      <c r="F7" s="27"/>
    </row>
    <row r="8" spans="1:6" x14ac:dyDescent="0.55000000000000004">
      <c r="A8" s="24">
        <v>42095</v>
      </c>
      <c r="B8" s="32">
        <v>16320</v>
      </c>
      <c r="C8" s="32">
        <v>204797</v>
      </c>
      <c r="D8" s="32">
        <v>18</v>
      </c>
      <c r="E8" s="32">
        <v>19235</v>
      </c>
      <c r="F8" s="27"/>
    </row>
    <row r="9" spans="1:6" x14ac:dyDescent="0.55000000000000004">
      <c r="A9" s="24">
        <v>42186</v>
      </c>
      <c r="B9" s="32">
        <v>18326</v>
      </c>
      <c r="C9" s="32">
        <v>216046</v>
      </c>
      <c r="D9" s="32">
        <v>20</v>
      </c>
      <c r="E9" s="32">
        <v>23334</v>
      </c>
      <c r="F9" s="27"/>
    </row>
    <row r="10" spans="1:6" x14ac:dyDescent="0.55000000000000004">
      <c r="A10" s="24">
        <v>42278</v>
      </c>
      <c r="B10" s="32">
        <v>20959</v>
      </c>
      <c r="C10" s="32">
        <v>224573</v>
      </c>
      <c r="D10" s="32">
        <v>26</v>
      </c>
      <c r="E10" s="32">
        <v>27470</v>
      </c>
      <c r="F10" s="27"/>
    </row>
    <row r="11" spans="1:6" x14ac:dyDescent="0.55000000000000004">
      <c r="A11" s="24">
        <v>42370</v>
      </c>
      <c r="B11" s="32">
        <v>23758</v>
      </c>
      <c r="C11" s="32">
        <v>237052</v>
      </c>
      <c r="D11" s="32">
        <v>34</v>
      </c>
      <c r="E11" s="32">
        <v>35468</v>
      </c>
      <c r="F11" s="27"/>
    </row>
    <row r="12" spans="1:6" x14ac:dyDescent="0.55000000000000004">
      <c r="A12" s="24">
        <v>42461</v>
      </c>
      <c r="B12" s="32">
        <v>25339</v>
      </c>
      <c r="C12" s="32">
        <v>248801</v>
      </c>
      <c r="D12" s="32">
        <v>36</v>
      </c>
      <c r="E12" s="32">
        <v>41933</v>
      </c>
      <c r="F12" s="27"/>
    </row>
    <row r="13" spans="1:6" x14ac:dyDescent="0.55000000000000004">
      <c r="A13" s="24">
        <v>42552</v>
      </c>
      <c r="B13" s="32">
        <v>27944</v>
      </c>
      <c r="C13" s="32">
        <v>262289</v>
      </c>
      <c r="D13" s="32">
        <v>32</v>
      </c>
      <c r="E13" s="32">
        <v>49007</v>
      </c>
      <c r="F13" s="27"/>
    </row>
    <row r="14" spans="1:6" x14ac:dyDescent="0.55000000000000004">
      <c r="A14" s="24">
        <v>42644</v>
      </c>
      <c r="B14" s="32">
        <v>29721</v>
      </c>
      <c r="C14" s="32">
        <v>272004</v>
      </c>
      <c r="D14" s="32">
        <v>34</v>
      </c>
      <c r="E14" s="32">
        <v>54865</v>
      </c>
      <c r="F14" s="27"/>
    </row>
    <row r="15" spans="1:6" x14ac:dyDescent="0.55000000000000004">
      <c r="A15" s="24">
        <v>42736</v>
      </c>
      <c r="B15" s="32">
        <v>33515</v>
      </c>
      <c r="C15" s="32">
        <v>290009</v>
      </c>
      <c r="D15" s="32">
        <v>51</v>
      </c>
      <c r="E15" s="32">
        <v>62784</v>
      </c>
      <c r="F15" s="27"/>
    </row>
    <row r="16" spans="1:6" x14ac:dyDescent="0.55000000000000004">
      <c r="A16" s="24">
        <v>42826</v>
      </c>
      <c r="B16" s="32">
        <v>36026</v>
      </c>
      <c r="C16" s="32">
        <v>305031</v>
      </c>
      <c r="D16" s="32">
        <v>55</v>
      </c>
      <c r="E16" s="32">
        <v>69707</v>
      </c>
      <c r="F16" s="27"/>
    </row>
    <row r="17" spans="1:6" x14ac:dyDescent="0.55000000000000004">
      <c r="A17" s="24">
        <v>42917</v>
      </c>
      <c r="B17" s="32">
        <v>39494</v>
      </c>
      <c r="C17" s="32">
        <v>325671</v>
      </c>
      <c r="D17" s="32">
        <v>63</v>
      </c>
      <c r="E17" s="32">
        <v>78680</v>
      </c>
      <c r="F17" s="27"/>
    </row>
    <row r="18" spans="1:6" x14ac:dyDescent="0.55000000000000004">
      <c r="A18" s="24">
        <v>43009</v>
      </c>
      <c r="B18" s="32">
        <v>42021</v>
      </c>
      <c r="C18" s="32">
        <v>337297</v>
      </c>
      <c r="D18" s="32">
        <v>68</v>
      </c>
      <c r="E18" s="32">
        <v>86867</v>
      </c>
      <c r="F18" s="27"/>
    </row>
    <row r="19" spans="1:6" x14ac:dyDescent="0.55000000000000004">
      <c r="A19" s="24">
        <v>43101</v>
      </c>
      <c r="B19" s="32">
        <v>45601</v>
      </c>
      <c r="C19" s="32">
        <v>356782</v>
      </c>
      <c r="D19" s="32">
        <v>69</v>
      </c>
      <c r="E19" s="32">
        <v>95875</v>
      </c>
      <c r="F19" s="27"/>
    </row>
    <row r="20" spans="1:6" x14ac:dyDescent="0.55000000000000004">
      <c r="A20" s="24">
        <v>43191</v>
      </c>
      <c r="B20" s="32">
        <v>48545</v>
      </c>
      <c r="C20" s="32">
        <v>376265</v>
      </c>
      <c r="D20" s="32">
        <v>97</v>
      </c>
      <c r="E20" s="32">
        <v>105633</v>
      </c>
      <c r="F20" s="27"/>
    </row>
    <row r="21" spans="1:6" x14ac:dyDescent="0.55000000000000004">
      <c r="A21" s="24">
        <v>43282</v>
      </c>
      <c r="B21" s="32">
        <v>52286</v>
      </c>
      <c r="C21" s="32">
        <v>401836</v>
      </c>
      <c r="D21" s="32">
        <v>97</v>
      </c>
      <c r="E21" s="32">
        <v>116417</v>
      </c>
      <c r="F21" s="27"/>
    </row>
    <row r="22" spans="1:6" x14ac:dyDescent="0.55000000000000004">
      <c r="A22" s="24">
        <v>43374</v>
      </c>
      <c r="B22" s="32">
        <v>56311</v>
      </c>
      <c r="C22" s="32">
        <v>417922</v>
      </c>
      <c r="D22" s="32">
        <v>104</v>
      </c>
      <c r="E22" s="32">
        <v>126130</v>
      </c>
      <c r="F22" s="27"/>
    </row>
    <row r="23" spans="1:6" x14ac:dyDescent="0.55000000000000004">
      <c r="A23" s="24">
        <v>43466</v>
      </c>
      <c r="B23" s="32">
        <v>61259</v>
      </c>
      <c r="C23" s="32">
        <v>443742</v>
      </c>
      <c r="D23" s="32">
        <v>128</v>
      </c>
      <c r="E23" s="32">
        <v>134003</v>
      </c>
      <c r="F23" s="27"/>
    </row>
    <row r="24" spans="1:6" x14ac:dyDescent="0.55000000000000004">
      <c r="A24" s="24">
        <v>43556</v>
      </c>
      <c r="B24" s="32">
        <v>66729</v>
      </c>
      <c r="C24" s="32">
        <v>466283</v>
      </c>
      <c r="D24" s="32">
        <v>142</v>
      </c>
      <c r="E24" s="32">
        <v>139326</v>
      </c>
      <c r="F24" s="27"/>
    </row>
    <row r="25" spans="1:6" x14ac:dyDescent="0.55000000000000004">
      <c r="A25" s="24">
        <v>43647</v>
      </c>
      <c r="B25" s="32">
        <v>78719</v>
      </c>
      <c r="C25" s="32">
        <v>494992</v>
      </c>
      <c r="D25" s="32">
        <v>171</v>
      </c>
      <c r="E25" s="32">
        <v>145895</v>
      </c>
      <c r="F25" s="27"/>
    </row>
    <row r="26" spans="1:6" x14ac:dyDescent="0.55000000000000004">
      <c r="A26" s="24">
        <v>43739</v>
      </c>
      <c r="B26" s="32">
        <v>90859</v>
      </c>
      <c r="C26" s="32">
        <v>518721</v>
      </c>
      <c r="D26" s="32">
        <v>183</v>
      </c>
      <c r="E26" s="32">
        <v>155958</v>
      </c>
      <c r="F26" s="27"/>
    </row>
    <row r="27" spans="1:6" x14ac:dyDescent="0.55000000000000004">
      <c r="A27" s="24">
        <v>43831</v>
      </c>
      <c r="B27" s="32">
        <v>108258</v>
      </c>
      <c r="C27" s="32">
        <v>548026</v>
      </c>
      <c r="D27" s="32">
        <v>192</v>
      </c>
      <c r="E27" s="32">
        <v>167566</v>
      </c>
      <c r="F27" s="27"/>
    </row>
    <row r="28" spans="1:6" x14ac:dyDescent="0.55000000000000004">
      <c r="A28" s="24">
        <v>43922</v>
      </c>
      <c r="B28" s="32">
        <v>119910</v>
      </c>
      <c r="C28" s="32">
        <v>560878</v>
      </c>
      <c r="D28" s="32">
        <v>197</v>
      </c>
      <c r="E28" s="32">
        <v>173007</v>
      </c>
      <c r="F28" s="27"/>
    </row>
    <row r="29" spans="1:6" x14ac:dyDescent="0.55000000000000004">
      <c r="A29" s="24">
        <v>44013</v>
      </c>
      <c r="B29" s="32">
        <v>154305</v>
      </c>
      <c r="C29" s="32">
        <v>625699</v>
      </c>
      <c r="D29" s="32">
        <v>204</v>
      </c>
      <c r="E29" s="32">
        <v>193510</v>
      </c>
      <c r="F29" s="27"/>
    </row>
    <row r="30" spans="1:6" x14ac:dyDescent="0.55000000000000004">
      <c r="A30" s="24">
        <v>44105</v>
      </c>
      <c r="B30" s="32">
        <v>193993</v>
      </c>
      <c r="C30" s="32">
        <v>668197</v>
      </c>
      <c r="D30" s="32">
        <v>217</v>
      </c>
      <c r="E30" s="32">
        <v>214516</v>
      </c>
      <c r="F30" s="27"/>
    </row>
    <row r="31" spans="1:6" x14ac:dyDescent="0.55000000000000004">
      <c r="A31" s="24">
        <v>44197</v>
      </c>
      <c r="B31" s="32">
        <v>224126</v>
      </c>
      <c r="C31" s="32">
        <v>729943</v>
      </c>
      <c r="D31" s="32">
        <v>218</v>
      </c>
      <c r="E31" s="32">
        <v>238252</v>
      </c>
      <c r="F31" s="27"/>
    </row>
    <row r="32" spans="1:6" x14ac:dyDescent="0.55000000000000004">
      <c r="A32" s="24">
        <v>44287</v>
      </c>
      <c r="B32" s="32">
        <v>265641</v>
      </c>
      <c r="C32" s="32">
        <v>809300</v>
      </c>
      <c r="D32" s="32">
        <v>218</v>
      </c>
      <c r="E32" s="32">
        <v>269506</v>
      </c>
      <c r="F32" s="27"/>
    </row>
    <row r="33" spans="1:6" x14ac:dyDescent="0.55000000000000004">
      <c r="A33" s="24">
        <v>44378</v>
      </c>
      <c r="B33" s="32">
        <v>315025</v>
      </c>
      <c r="C33" s="32">
        <v>885473</v>
      </c>
      <c r="D33" s="32">
        <v>219</v>
      </c>
      <c r="E33" s="32">
        <v>296490</v>
      </c>
      <c r="F33" s="27"/>
    </row>
    <row r="34" spans="1:6" x14ac:dyDescent="0.55000000000000004">
      <c r="A34" s="24">
        <v>44470</v>
      </c>
      <c r="B34" s="32">
        <v>379221</v>
      </c>
      <c r="C34" s="32">
        <v>932335</v>
      </c>
      <c r="D34" s="32">
        <v>215</v>
      </c>
      <c r="E34" s="32">
        <v>321441</v>
      </c>
      <c r="F34" s="27"/>
    </row>
    <row r="35" spans="1:6" x14ac:dyDescent="0.55000000000000004">
      <c r="A35" s="24">
        <v>44562</v>
      </c>
      <c r="B35" s="32">
        <v>441167</v>
      </c>
      <c r="C35" s="32">
        <v>1019931</v>
      </c>
      <c r="D35" s="32">
        <v>220</v>
      </c>
      <c r="E35" s="32">
        <v>348546</v>
      </c>
      <c r="F35" s="2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FA29-C0B6-483A-893C-3735579C70A9}">
  <dimension ref="A2:AD78"/>
  <sheetViews>
    <sheetView workbookViewId="0"/>
  </sheetViews>
  <sheetFormatPr defaultColWidth="8.89453125" defaultRowHeight="14.4" x14ac:dyDescent="0.55000000000000004"/>
  <cols>
    <col min="1" max="1" width="13.20703125" style="9" bestFit="1" customWidth="1"/>
    <col min="2" max="3" width="13.20703125" style="9" customWidth="1"/>
    <col min="4" max="4" width="10.68359375" style="9" bestFit="1" customWidth="1"/>
    <col min="5" max="9" width="9.68359375" style="9" bestFit="1" customWidth="1"/>
    <col min="10" max="11" width="10.5234375" style="9" bestFit="1" customWidth="1"/>
    <col min="12" max="12" width="9.68359375" style="9" bestFit="1" customWidth="1"/>
    <col min="13" max="15" width="10.5234375" style="9" bestFit="1" customWidth="1"/>
    <col min="16" max="25" width="9.68359375" style="9" bestFit="1" customWidth="1"/>
    <col min="26" max="30" width="10.5234375" style="9" bestFit="1" customWidth="1"/>
    <col min="31" max="16384" width="8.89453125" style="9"/>
  </cols>
  <sheetData>
    <row r="2" spans="1:30" ht="14.7" thickBot="1" x14ac:dyDescent="0.6">
      <c r="A2" s="7" t="s">
        <v>57</v>
      </c>
      <c r="B2" s="7"/>
      <c r="C2" s="8" t="s">
        <v>58</v>
      </c>
      <c r="D2" s="8" t="s">
        <v>59</v>
      </c>
      <c r="E2" s="8">
        <v>2010</v>
      </c>
      <c r="F2" s="8">
        <v>2011</v>
      </c>
      <c r="G2" s="8">
        <v>2012</v>
      </c>
      <c r="H2" s="8">
        <v>2013</v>
      </c>
      <c r="I2" s="8">
        <v>2014</v>
      </c>
      <c r="J2" s="8">
        <v>2015</v>
      </c>
      <c r="K2" s="8">
        <v>2016</v>
      </c>
      <c r="L2" s="8">
        <v>2017</v>
      </c>
      <c r="M2" s="8">
        <v>2018</v>
      </c>
      <c r="N2" s="8">
        <v>2019</v>
      </c>
      <c r="O2" s="8">
        <v>2020</v>
      </c>
      <c r="P2" s="8">
        <v>2021</v>
      </c>
      <c r="Q2" s="8">
        <v>2022</v>
      </c>
      <c r="R2" s="8">
        <v>2023</v>
      </c>
      <c r="S2" s="8">
        <v>2024</v>
      </c>
      <c r="T2" s="8">
        <v>2025</v>
      </c>
      <c r="U2" s="8">
        <v>2026</v>
      </c>
      <c r="V2" s="8">
        <v>2027</v>
      </c>
      <c r="W2" s="8">
        <v>2028</v>
      </c>
      <c r="X2" s="8">
        <v>2029</v>
      </c>
      <c r="Y2" s="8">
        <v>2030</v>
      </c>
      <c r="Z2" s="8">
        <v>2031</v>
      </c>
      <c r="AA2" s="8">
        <v>2032</v>
      </c>
      <c r="AB2" s="8">
        <v>2033</v>
      </c>
      <c r="AC2" s="8">
        <v>2034</v>
      </c>
      <c r="AD2" s="8">
        <v>2035</v>
      </c>
    </row>
    <row r="3" spans="1:30" ht="14.7" hidden="1" thickTop="1" x14ac:dyDescent="0.55000000000000004">
      <c r="E3" s="9">
        <v>138</v>
      </c>
      <c r="F3" s="9">
        <v>1082</v>
      </c>
      <c r="G3" s="9">
        <v>1262</v>
      </c>
      <c r="H3" s="9">
        <v>2512</v>
      </c>
      <c r="I3" s="9">
        <v>6697</v>
      </c>
      <c r="J3" s="9">
        <v>9934</v>
      </c>
      <c r="K3" s="9">
        <v>10264</v>
      </c>
      <c r="L3" s="9">
        <v>13597</v>
      </c>
      <c r="M3" s="9">
        <v>15474</v>
      </c>
      <c r="N3" s="9">
        <v>37850</v>
      </c>
      <c r="O3" s="9">
        <v>108205</v>
      </c>
      <c r="P3" s="9">
        <v>190727</v>
      </c>
      <c r="Q3" s="9">
        <v>289000</v>
      </c>
      <c r="R3" s="9">
        <v>412000</v>
      </c>
      <c r="S3" s="9">
        <v>450000</v>
      </c>
      <c r="T3" s="9">
        <v>575000</v>
      </c>
      <c r="U3" s="9">
        <v>700000</v>
      </c>
      <c r="V3" s="9">
        <v>850000</v>
      </c>
      <c r="W3" s="9">
        <v>1000000</v>
      </c>
      <c r="X3" s="9">
        <v>1200000</v>
      </c>
      <c r="Y3" s="9">
        <v>1425000</v>
      </c>
      <c r="Z3" s="9">
        <v>1575000</v>
      </c>
      <c r="AA3" s="9">
        <v>1700000</v>
      </c>
      <c r="AB3" s="9">
        <v>1825000</v>
      </c>
      <c r="AC3" s="9">
        <v>1950000</v>
      </c>
      <c r="AD3" s="9">
        <v>2150000</v>
      </c>
    </row>
    <row r="4" spans="1:30" ht="14.7" hidden="1" thickTop="1" x14ac:dyDescent="0.55000000000000004">
      <c r="E4" s="9">
        <v>111</v>
      </c>
      <c r="F4" s="9">
        <v>1056</v>
      </c>
      <c r="G4" s="9">
        <v>992</v>
      </c>
      <c r="H4" s="9">
        <v>1072</v>
      </c>
      <c r="I4" s="9">
        <v>7821</v>
      </c>
      <c r="J4" s="9">
        <v>18254</v>
      </c>
      <c r="K4" s="9">
        <v>26643</v>
      </c>
      <c r="L4" s="9">
        <v>33666</v>
      </c>
      <c r="M4" s="9">
        <v>44437</v>
      </c>
      <c r="N4" s="9">
        <v>34734</v>
      </c>
      <c r="O4" s="9">
        <v>67134</v>
      </c>
      <c r="P4" s="9">
        <v>114554</v>
      </c>
      <c r="Q4" s="9">
        <v>144000</v>
      </c>
      <c r="R4" s="9">
        <v>187000</v>
      </c>
      <c r="S4" s="9">
        <v>200000</v>
      </c>
      <c r="T4" s="9">
        <v>225000</v>
      </c>
      <c r="U4" s="9">
        <v>225000</v>
      </c>
      <c r="V4" s="9">
        <v>250000</v>
      </c>
      <c r="W4" s="9">
        <v>275000</v>
      </c>
      <c r="X4" s="9">
        <v>325000</v>
      </c>
      <c r="Y4" s="9">
        <v>325000</v>
      </c>
      <c r="Z4" s="9">
        <v>350000</v>
      </c>
      <c r="AA4" s="9">
        <v>300000</v>
      </c>
      <c r="AB4" s="9">
        <v>250000</v>
      </c>
      <c r="AC4" s="9">
        <v>150000</v>
      </c>
      <c r="AD4" s="9">
        <v>0</v>
      </c>
    </row>
    <row r="5" spans="1:30" ht="15.9" thickTop="1" x14ac:dyDescent="0.55000000000000004">
      <c r="A5" s="52" t="s">
        <v>60</v>
      </c>
      <c r="B5" s="9" t="s">
        <v>61</v>
      </c>
      <c r="E5" s="10">
        <f t="shared" ref="E5:AD5" si="0">SUM(E3:E4)</f>
        <v>249</v>
      </c>
      <c r="F5" s="10">
        <f t="shared" si="0"/>
        <v>2138</v>
      </c>
      <c r="G5" s="10">
        <f t="shared" si="0"/>
        <v>2254</v>
      </c>
      <c r="H5" s="10">
        <f t="shared" si="0"/>
        <v>3584</v>
      </c>
      <c r="I5" s="10">
        <f t="shared" si="0"/>
        <v>14518</v>
      </c>
      <c r="J5" s="10">
        <f t="shared" si="0"/>
        <v>28188</v>
      </c>
      <c r="K5" s="10">
        <f t="shared" si="0"/>
        <v>36907</v>
      </c>
      <c r="L5" s="10">
        <f t="shared" si="0"/>
        <v>47263</v>
      </c>
      <c r="M5" s="10">
        <f t="shared" si="0"/>
        <v>59911</v>
      </c>
      <c r="N5" s="10">
        <f t="shared" si="0"/>
        <v>72584</v>
      </c>
      <c r="O5" s="10">
        <f t="shared" si="0"/>
        <v>175339</v>
      </c>
      <c r="P5" s="10">
        <f t="shared" si="0"/>
        <v>305281</v>
      </c>
      <c r="Q5" s="10">
        <f t="shared" si="0"/>
        <v>433000</v>
      </c>
      <c r="R5" s="10">
        <f t="shared" si="0"/>
        <v>599000</v>
      </c>
      <c r="S5" s="10">
        <f t="shared" si="0"/>
        <v>650000</v>
      </c>
      <c r="T5" s="10">
        <f t="shared" si="0"/>
        <v>800000</v>
      </c>
      <c r="U5" s="10">
        <f t="shared" si="0"/>
        <v>925000</v>
      </c>
      <c r="V5" s="10">
        <f t="shared" si="0"/>
        <v>1100000</v>
      </c>
      <c r="W5" s="10">
        <f t="shared" si="0"/>
        <v>1275000</v>
      </c>
      <c r="X5" s="10">
        <f t="shared" si="0"/>
        <v>1525000</v>
      </c>
      <c r="Y5" s="10">
        <f t="shared" si="0"/>
        <v>1750000</v>
      </c>
      <c r="Z5" s="10">
        <f t="shared" si="0"/>
        <v>1925000</v>
      </c>
      <c r="AA5" s="10">
        <f t="shared" si="0"/>
        <v>2000000</v>
      </c>
      <c r="AB5" s="10">
        <f t="shared" si="0"/>
        <v>2075000</v>
      </c>
      <c r="AC5" s="10">
        <f t="shared" si="0"/>
        <v>2100000</v>
      </c>
      <c r="AD5" s="10">
        <f t="shared" si="0"/>
        <v>2150000</v>
      </c>
    </row>
    <row r="6" spans="1:30" ht="15.6" x14ac:dyDescent="0.55000000000000004">
      <c r="A6" s="52"/>
      <c r="B6" s="9" t="s">
        <v>62</v>
      </c>
      <c r="E6" s="10">
        <v>2030846</v>
      </c>
      <c r="F6" s="10">
        <v>1941253</v>
      </c>
      <c r="G6" s="10">
        <v>2044609</v>
      </c>
      <c r="H6" s="10">
        <v>2264737</v>
      </c>
      <c r="I6" s="10">
        <v>2476435</v>
      </c>
      <c r="J6" s="10">
        <v>2633503</v>
      </c>
      <c r="K6" s="10">
        <v>2692786</v>
      </c>
      <c r="L6" s="10">
        <v>2540617</v>
      </c>
      <c r="M6" s="10">
        <v>2367147</v>
      </c>
      <c r="N6" s="10">
        <v>2311140</v>
      </c>
      <c r="O6" s="10">
        <v>1631064</v>
      </c>
      <c r="P6" s="10">
        <v>1647181</v>
      </c>
      <c r="Q6" s="10">
        <v>1722000</v>
      </c>
      <c r="R6" s="10">
        <v>2019000</v>
      </c>
      <c r="S6" s="10">
        <v>2300000</v>
      </c>
      <c r="T6" s="10">
        <v>2300000</v>
      </c>
      <c r="U6" s="10">
        <v>2300000</v>
      </c>
      <c r="V6" s="10">
        <v>2300000</v>
      </c>
      <c r="W6" s="10">
        <v>2200000</v>
      </c>
      <c r="X6" s="10">
        <v>2100000</v>
      </c>
      <c r="Y6" s="10">
        <v>2000000</v>
      </c>
      <c r="Z6" s="10">
        <v>2100000</v>
      </c>
      <c r="AA6" s="10">
        <v>2150000</v>
      </c>
      <c r="AB6" s="10">
        <v>2175000</v>
      </c>
      <c r="AC6" s="10">
        <v>2150000</v>
      </c>
      <c r="AD6" s="10">
        <v>2150000</v>
      </c>
    </row>
    <row r="7" spans="1:30" ht="15.6" x14ac:dyDescent="0.55000000000000004"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1">
        <f t="shared" ref="R7" si="1">R5/R6</f>
        <v>0.29668152550767707</v>
      </c>
      <c r="S7" s="11">
        <f>S5/S6</f>
        <v>0.28260869565217389</v>
      </c>
      <c r="T7" s="11">
        <f t="shared" ref="T7" si="2">T5/T6</f>
        <v>0.34782608695652173</v>
      </c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5.6" x14ac:dyDescent="0.55000000000000004"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5.6" x14ac:dyDescent="0.55000000000000004">
      <c r="A9" s="9" t="s">
        <v>63</v>
      </c>
      <c r="C9" s="12">
        <f>C24</f>
        <v>5.9036213945027338E-3</v>
      </c>
      <c r="D9" s="13" t="s">
        <v>64</v>
      </c>
      <c r="E9" s="10">
        <f>E$5*(1-$C9)</f>
        <v>247.52999827276881</v>
      </c>
      <c r="F9" s="10">
        <f t="shared" ref="F9:AD9" si="3">F$5*(1-$C9)</f>
        <v>2125.378057458553</v>
      </c>
      <c r="G9" s="10">
        <f t="shared" si="3"/>
        <v>2240.6932373767909</v>
      </c>
      <c r="H9" s="10">
        <f t="shared" si="3"/>
        <v>3562.8414209221023</v>
      </c>
      <c r="I9" s="10">
        <f t="shared" si="3"/>
        <v>14432.29122459461</v>
      </c>
      <c r="J9" s="10">
        <f t="shared" si="3"/>
        <v>28021.588720131756</v>
      </c>
      <c r="K9" s="10">
        <f t="shared" si="3"/>
        <v>36689.115045193088</v>
      </c>
      <c r="L9" s="10">
        <f t="shared" si="3"/>
        <v>46983.977142031617</v>
      </c>
      <c r="M9" s="10">
        <f t="shared" si="3"/>
        <v>59557.308138633947</v>
      </c>
      <c r="N9" s="10">
        <f t="shared" si="3"/>
        <v>72155.491544701406</v>
      </c>
      <c r="O9" s="10">
        <f t="shared" si="3"/>
        <v>174303.86492830928</v>
      </c>
      <c r="P9" s="10">
        <f t="shared" si="3"/>
        <v>303478.73655706481</v>
      </c>
      <c r="Q9" s="10">
        <f t="shared" si="3"/>
        <v>430443.73193618032</v>
      </c>
      <c r="R9" s="10">
        <f t="shared" si="3"/>
        <v>595463.73078469292</v>
      </c>
      <c r="S9" s="10">
        <f t="shared" si="3"/>
        <v>646162.64609357319</v>
      </c>
      <c r="T9" s="10">
        <f t="shared" si="3"/>
        <v>795277.10288439784</v>
      </c>
      <c r="U9" s="10">
        <f t="shared" si="3"/>
        <v>919539.15021008498</v>
      </c>
      <c r="V9" s="10">
        <f t="shared" si="3"/>
        <v>1093506.0164660469</v>
      </c>
      <c r="W9" s="10">
        <f t="shared" si="3"/>
        <v>1267472.882722009</v>
      </c>
      <c r="X9" s="10">
        <f t="shared" si="3"/>
        <v>1515996.9773733832</v>
      </c>
      <c r="Y9" s="10">
        <f t="shared" si="3"/>
        <v>1739668.6625596201</v>
      </c>
      <c r="Z9" s="10">
        <f t="shared" si="3"/>
        <v>1913635.5288155822</v>
      </c>
      <c r="AA9" s="10">
        <f t="shared" si="3"/>
        <v>1988192.7572109946</v>
      </c>
      <c r="AB9" s="10">
        <f t="shared" si="3"/>
        <v>2062749.9856064068</v>
      </c>
      <c r="AC9" s="10">
        <f t="shared" si="3"/>
        <v>2087602.3950715442</v>
      </c>
      <c r="AD9" s="10">
        <f t="shared" si="3"/>
        <v>2137307.214001819</v>
      </c>
    </row>
    <row r="10" spans="1:30" ht="15.6" x14ac:dyDescent="0.55000000000000004">
      <c r="C10" s="12">
        <f t="shared" ref="C10:C19" si="4">C25</f>
        <v>4.092368469391372E-3</v>
      </c>
      <c r="D10" s="13" t="s">
        <v>65</v>
      </c>
      <c r="E10" s="10">
        <v>0</v>
      </c>
      <c r="F10" s="10">
        <f>E9*(1-$C10)</f>
        <v>246.51701431260881</v>
      </c>
      <c r="G10" s="10">
        <f t="shared" ref="G10:V18" si="5">F9*(1-$C10)</f>
        <v>2116.6802273106732</v>
      </c>
      <c r="H10" s="10">
        <f t="shared" si="5"/>
        <v>2231.5234950225713</v>
      </c>
      <c r="I10" s="10">
        <f t="shared" si="5"/>
        <v>3548.260961029679</v>
      </c>
      <c r="J10" s="10">
        <f t="shared" si="5"/>
        <v>14373.228971046005</v>
      </c>
      <c r="K10" s="10">
        <f t="shared" si="5"/>
        <v>27906.914053991233</v>
      </c>
      <c r="L10" s="10">
        <f t="shared" si="5"/>
        <v>36538.969667612262</v>
      </c>
      <c r="M10" s="10">
        <f t="shared" si="5"/>
        <v>46791.701395408956</v>
      </c>
      <c r="N10" s="10">
        <f t="shared" si="5"/>
        <v>59313.577688685575</v>
      </c>
      <c r="O10" s="10">
        <f t="shared" si="5"/>
        <v>71860.204686210433</v>
      </c>
      <c r="P10" s="10">
        <f t="shared" si="5"/>
        <v>173590.54928738362</v>
      </c>
      <c r="Q10" s="10">
        <f t="shared" si="5"/>
        <v>302236.78974444792</v>
      </c>
      <c r="R10" s="10">
        <f t="shared" si="5"/>
        <v>428682.19757975754</v>
      </c>
      <c r="S10" s="10">
        <f t="shared" si="5"/>
        <v>593026.87378816342</v>
      </c>
      <c r="T10" s="10">
        <f t="shared" si="5"/>
        <v>643518.31045460131</v>
      </c>
      <c r="U10" s="10">
        <f t="shared" si="5"/>
        <v>792022.5359441248</v>
      </c>
      <c r="V10" s="10">
        <f t="shared" si="5"/>
        <v>915776.05718539422</v>
      </c>
      <c r="W10" s="10">
        <f t="shared" ref="O10:AD19" si="6">V9*(1-$C10)</f>
        <v>1089030.9869231714</v>
      </c>
      <c r="X10" s="10">
        <f t="shared" si="6"/>
        <v>1262285.9166609487</v>
      </c>
      <c r="Y10" s="10">
        <f t="shared" si="6"/>
        <v>1509792.9591434877</v>
      </c>
      <c r="Z10" s="10">
        <f t="shared" si="6"/>
        <v>1732549.2973777729</v>
      </c>
      <c r="AA10" s="10">
        <f t="shared" si="6"/>
        <v>1905804.2271155501</v>
      </c>
      <c r="AB10" s="10">
        <f t="shared" si="6"/>
        <v>1980056.3398603119</v>
      </c>
      <c r="AC10" s="10">
        <f t="shared" si="6"/>
        <v>2054308.4526050736</v>
      </c>
      <c r="AD10" s="10">
        <f t="shared" si="6"/>
        <v>2079059.1568533273</v>
      </c>
    </row>
    <row r="11" spans="1:30" ht="15.6" x14ac:dyDescent="0.55000000000000004">
      <c r="C11" s="12">
        <f t="shared" si="4"/>
        <v>8.1546450927145742E-3</v>
      </c>
      <c r="D11" s="13" t="s">
        <v>66</v>
      </c>
      <c r="E11" s="10">
        <v>0</v>
      </c>
      <c r="F11" s="10">
        <v>0</v>
      </c>
      <c r="G11" s="10">
        <f t="shared" si="5"/>
        <v>244.50675555157383</v>
      </c>
      <c r="H11" s="10">
        <f t="shared" si="5"/>
        <v>2099.4194512821882</v>
      </c>
      <c r="I11" s="10">
        <f t="shared" si="5"/>
        <v>2213.3262129046084</v>
      </c>
      <c r="J11" s="10">
        <f t="shared" si="5"/>
        <v>3519.3261521961476</v>
      </c>
      <c r="K11" s="10">
        <f t="shared" si="5"/>
        <v>14256.020389950801</v>
      </c>
      <c r="L11" s="10">
        <f t="shared" si="5"/>
        <v>27679.343074248045</v>
      </c>
      <c r="M11" s="10">
        <f t="shared" si="5"/>
        <v>36241.007337919422</v>
      </c>
      <c r="N11" s="10">
        <f t="shared" si="5"/>
        <v>46410.131677245117</v>
      </c>
      <c r="O11" s="10">
        <f t="shared" si="5"/>
        <v>58829.896513455191</v>
      </c>
      <c r="P11" s="10">
        <f t="shared" si="5"/>
        <v>71274.210220704568</v>
      </c>
      <c r="Q11" s="10">
        <f t="shared" si="5"/>
        <v>172174.97996649562</v>
      </c>
      <c r="R11" s="10">
        <f t="shared" si="5"/>
        <v>299772.15599012055</v>
      </c>
      <c r="S11" s="10">
        <f t="shared" si="5"/>
        <v>425186.44640092965</v>
      </c>
      <c r="T11" s="10">
        <f t="shared" si="5"/>
        <v>588190.95010197896</v>
      </c>
      <c r="U11" s="10">
        <f t="shared" si="5"/>
        <v>638270.64702218072</v>
      </c>
      <c r="V11" s="10">
        <f t="shared" si="5"/>
        <v>785563.87325806869</v>
      </c>
      <c r="W11" s="10">
        <f t="shared" si="6"/>
        <v>908308.22845464188</v>
      </c>
      <c r="X11" s="10">
        <f t="shared" si="6"/>
        <v>1080150.3257298444</v>
      </c>
      <c r="Y11" s="10">
        <f t="shared" si="6"/>
        <v>1251992.4230050468</v>
      </c>
      <c r="Z11" s="10">
        <f t="shared" si="6"/>
        <v>1497481.1333981932</v>
      </c>
      <c r="AA11" s="10">
        <f t="shared" si="6"/>
        <v>1718420.9727520251</v>
      </c>
      <c r="AB11" s="10">
        <f t="shared" si="6"/>
        <v>1890263.0700272275</v>
      </c>
      <c r="AC11" s="10">
        <f t="shared" si="6"/>
        <v>1963909.6831451717</v>
      </c>
      <c r="AD11" s="10">
        <f t="shared" si="6"/>
        <v>2037556.2962631155</v>
      </c>
    </row>
    <row r="12" spans="1:30" ht="15.6" x14ac:dyDescent="0.55000000000000004">
      <c r="C12" s="12">
        <f t="shared" si="4"/>
        <v>1.1168373760285843E-2</v>
      </c>
      <c r="D12" s="13" t="s">
        <v>67</v>
      </c>
      <c r="E12" s="10">
        <v>0</v>
      </c>
      <c r="F12" s="10">
        <v>0</v>
      </c>
      <c r="G12" s="10">
        <v>0</v>
      </c>
      <c r="H12" s="10">
        <f t="shared" si="5"/>
        <v>241.77601271865899</v>
      </c>
      <c r="I12" s="10">
        <f t="shared" si="5"/>
        <v>2075.9723501706544</v>
      </c>
      <c r="J12" s="10">
        <f t="shared" si="5"/>
        <v>2188.6069585054515</v>
      </c>
      <c r="K12" s="10">
        <f t="shared" si="5"/>
        <v>3480.0210023440723</v>
      </c>
      <c r="L12" s="10">
        <f t="shared" si="5"/>
        <v>14096.803825901574</v>
      </c>
      <c r="M12" s="10">
        <f t="shared" si="5"/>
        <v>27370.209825355661</v>
      </c>
      <c r="N12" s="10">
        <f t="shared" si="5"/>
        <v>35836.254222520271</v>
      </c>
      <c r="O12" s="10">
        <f t="shared" si="5"/>
        <v>45891.805980409561</v>
      </c>
      <c r="P12" s="10">
        <f t="shared" si="5"/>
        <v>58172.862240913986</v>
      </c>
      <c r="Q12" s="10">
        <f t="shared" si="5"/>
        <v>70478.193201490547</v>
      </c>
      <c r="R12" s="10">
        <f t="shared" si="5"/>
        <v>170252.06543806006</v>
      </c>
      <c r="S12" s="10">
        <f t="shared" si="5"/>
        <v>296424.18850909616</v>
      </c>
      <c r="T12" s="10">
        <f t="shared" si="5"/>
        <v>420437.80524971627</v>
      </c>
      <c r="U12" s="10">
        <f t="shared" si="5"/>
        <v>581621.8137288224</v>
      </c>
      <c r="V12" s="10">
        <f t="shared" si="5"/>
        <v>631142.2018760175</v>
      </c>
      <c r="W12" s="10">
        <f t="shared" si="6"/>
        <v>776790.40230894473</v>
      </c>
      <c r="X12" s="10">
        <f t="shared" si="6"/>
        <v>898163.90266971732</v>
      </c>
      <c r="Y12" s="10">
        <f t="shared" si="6"/>
        <v>1068086.8031747988</v>
      </c>
      <c r="Z12" s="10">
        <f t="shared" si="6"/>
        <v>1238009.7036798804</v>
      </c>
      <c r="AA12" s="10">
        <f t="shared" si="6"/>
        <v>1480756.7044014256</v>
      </c>
      <c r="AB12" s="10">
        <f t="shared" si="6"/>
        <v>1699229.0050508163</v>
      </c>
      <c r="AC12" s="10">
        <f t="shared" si="6"/>
        <v>1869151.9055558979</v>
      </c>
      <c r="AD12" s="10">
        <f t="shared" si="6"/>
        <v>1941976.0057723618</v>
      </c>
    </row>
    <row r="13" spans="1:30" ht="15.6" x14ac:dyDescent="0.55000000000000004">
      <c r="C13" s="12">
        <f t="shared" si="4"/>
        <v>1.2597694490372846E-2</v>
      </c>
      <c r="D13" s="13" t="s">
        <v>68</v>
      </c>
      <c r="E13" s="10">
        <v>0</v>
      </c>
      <c r="F13" s="10">
        <v>0</v>
      </c>
      <c r="G13" s="10">
        <v>0</v>
      </c>
      <c r="H13" s="10">
        <v>0</v>
      </c>
      <c r="I13" s="10">
        <f t="shared" si="5"/>
        <v>238.73019237532881</v>
      </c>
      <c r="J13" s="10">
        <f t="shared" si="5"/>
        <v>2049.819884732743</v>
      </c>
      <c r="K13" s="10">
        <f t="shared" si="5"/>
        <v>2161.0355566826956</v>
      </c>
      <c r="L13" s="10">
        <f t="shared" si="5"/>
        <v>3436.1807609364605</v>
      </c>
      <c r="M13" s="10">
        <f t="shared" si="5"/>
        <v>13919.216598012146</v>
      </c>
      <c r="N13" s="10">
        <f t="shared" si="5"/>
        <v>27025.408283838431</v>
      </c>
      <c r="O13" s="10">
        <f t="shared" si="5"/>
        <v>35384.800040145623</v>
      </c>
      <c r="P13" s="10">
        <f t="shared" si="5"/>
        <v>45313.675029056896</v>
      </c>
      <c r="Q13" s="10">
        <f t="shared" si="5"/>
        <v>57440.018294772402</v>
      </c>
      <c r="R13" s="10">
        <f t="shared" si="5"/>
        <v>69590.330455304691</v>
      </c>
      <c r="S13" s="10">
        <f t="shared" si="5"/>
        <v>168107.28193131642</v>
      </c>
      <c r="T13" s="10">
        <f t="shared" si="5"/>
        <v>292689.92714270187</v>
      </c>
      <c r="U13" s="10">
        <f t="shared" si="5"/>
        <v>415141.25822697749</v>
      </c>
      <c r="V13" s="10">
        <f t="shared" si="5"/>
        <v>574294.71981053019</v>
      </c>
      <c r="W13" s="10">
        <f t="shared" si="6"/>
        <v>623191.26523680217</v>
      </c>
      <c r="X13" s="10">
        <f t="shared" si="6"/>
        <v>767004.63413760287</v>
      </c>
      <c r="Y13" s="10">
        <f t="shared" si="6"/>
        <v>886849.10822160321</v>
      </c>
      <c r="Z13" s="10">
        <f t="shared" si="6"/>
        <v>1054631.3719392037</v>
      </c>
      <c r="AA13" s="10">
        <f t="shared" si="6"/>
        <v>1222413.6356568043</v>
      </c>
      <c r="AB13" s="10">
        <f t="shared" si="6"/>
        <v>1462102.583824805</v>
      </c>
      <c r="AC13" s="10">
        <f t="shared" si="6"/>
        <v>1677822.6371760059</v>
      </c>
      <c r="AD13" s="10">
        <f t="shared" si="6"/>
        <v>1845604.9008936065</v>
      </c>
    </row>
    <row r="14" spans="1:30" ht="15.6" x14ac:dyDescent="0.55000000000000004">
      <c r="C14" s="12">
        <f t="shared" si="4"/>
        <v>1.0296922762608296E-2</v>
      </c>
      <c r="D14" s="13" t="s">
        <v>69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f t="shared" si="5"/>
        <v>236.27200602333744</v>
      </c>
      <c r="K14" s="10">
        <f t="shared" si="5"/>
        <v>2028.7130477023913</v>
      </c>
      <c r="L14" s="10">
        <f t="shared" si="5"/>
        <v>2138.7835404682837</v>
      </c>
      <c r="M14" s="10">
        <f t="shared" si="5"/>
        <v>3400.7986730427374</v>
      </c>
      <c r="N14" s="10">
        <f t="shared" si="5"/>
        <v>13775.891499786399</v>
      </c>
      <c r="O14" s="10">
        <f t="shared" si="5"/>
        <v>26747.129742111792</v>
      </c>
      <c r="P14" s="10">
        <f t="shared" si="5"/>
        <v>35020.445487161902</v>
      </c>
      <c r="Q14" s="10">
        <f t="shared" si="5"/>
        <v>44847.083617192766</v>
      </c>
      <c r="R14" s="10">
        <f t="shared" si="5"/>
        <v>56848.562862908322</v>
      </c>
      <c r="S14" s="10">
        <f t="shared" si="5"/>
        <v>68873.76419758203</v>
      </c>
      <c r="T14" s="10">
        <f t="shared" si="5"/>
        <v>166376.29423343763</v>
      </c>
      <c r="U14" s="10">
        <f t="shared" si="5"/>
        <v>289676.12156952004</v>
      </c>
      <c r="V14" s="10">
        <f t="shared" si="5"/>
        <v>410866.58075544226</v>
      </c>
      <c r="W14" s="10">
        <f t="shared" si="6"/>
        <v>568381.25143766741</v>
      </c>
      <c r="X14" s="10">
        <f t="shared" si="6"/>
        <v>616774.31291232666</v>
      </c>
      <c r="Y14" s="10">
        <f t="shared" si="6"/>
        <v>759106.84666132531</v>
      </c>
      <c r="Z14" s="10">
        <f t="shared" si="6"/>
        <v>877717.29145215731</v>
      </c>
      <c r="AA14" s="10">
        <f t="shared" si="6"/>
        <v>1043771.914159322</v>
      </c>
      <c r="AB14" s="10">
        <f t="shared" si="6"/>
        <v>1209826.536866487</v>
      </c>
      <c r="AC14" s="10">
        <f t="shared" si="6"/>
        <v>1447047.426448151</v>
      </c>
      <c r="AD14" s="10">
        <f t="shared" si="6"/>
        <v>1660546.2270716487</v>
      </c>
    </row>
    <row r="15" spans="1:30" ht="15.6" x14ac:dyDescent="0.55000000000000004">
      <c r="C15" s="12">
        <f t="shared" si="4"/>
        <v>1.0185743676067616E-2</v>
      </c>
      <c r="D15" s="13" t="s">
        <v>70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f t="shared" si="5"/>
        <v>233.86539993215342</v>
      </c>
      <c r="L15" s="10">
        <f t="shared" si="5"/>
        <v>2008.0490966062009</v>
      </c>
      <c r="M15" s="10">
        <f t="shared" si="5"/>
        <v>2116.9984395464812</v>
      </c>
      <c r="N15" s="10">
        <f t="shared" si="5"/>
        <v>3366.1590094652133</v>
      </c>
      <c r="O15" s="10">
        <f t="shared" si="5"/>
        <v>13635.573800060256</v>
      </c>
      <c r="P15" s="10">
        <f t="shared" si="5"/>
        <v>26474.690334488118</v>
      </c>
      <c r="Q15" s="10">
        <f t="shared" si="5"/>
        <v>34663.736206007969</v>
      </c>
      <c r="R15" s="10">
        <f t="shared" si="5"/>
        <v>44390.282718848866</v>
      </c>
      <c r="S15" s="10">
        <f t="shared" si="5"/>
        <v>56269.517973233924</v>
      </c>
      <c r="T15" s="10">
        <f t="shared" si="5"/>
        <v>68172.233689459536</v>
      </c>
      <c r="U15" s="10">
        <f t="shared" si="5"/>
        <v>164681.62794660183</v>
      </c>
      <c r="V15" s="10">
        <f t="shared" si="5"/>
        <v>286725.55484613549</v>
      </c>
      <c r="W15" s="10">
        <f t="shared" si="6"/>
        <v>406681.59907880501</v>
      </c>
      <c r="X15" s="10">
        <f t="shared" si="6"/>
        <v>562591.86570024083</v>
      </c>
      <c r="Y15" s="10">
        <f t="shared" si="6"/>
        <v>610492.00785501895</v>
      </c>
      <c r="Z15" s="10">
        <f t="shared" si="6"/>
        <v>751374.77889848512</v>
      </c>
      <c r="AA15" s="10">
        <f t="shared" si="6"/>
        <v>868777.08810137329</v>
      </c>
      <c r="AB15" s="10">
        <f t="shared" si="6"/>
        <v>1033140.3209854168</v>
      </c>
      <c r="AC15" s="10">
        <f t="shared" si="6"/>
        <v>1197503.5538694605</v>
      </c>
      <c r="AD15" s="10">
        <f t="shared" si="6"/>
        <v>1432308.1722752368</v>
      </c>
    </row>
    <row r="16" spans="1:30" ht="15.6" x14ac:dyDescent="0.55000000000000004">
      <c r="C16" s="12">
        <f t="shared" si="4"/>
        <v>1.2319735914107732E-2</v>
      </c>
      <c r="D16" s="13" t="s">
        <v>71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f t="shared" si="5"/>
        <v>230.98423996554212</v>
      </c>
      <c r="M16" s="10">
        <f t="shared" si="5"/>
        <v>1983.31046203345</v>
      </c>
      <c r="N16" s="10">
        <f t="shared" si="5"/>
        <v>2090.9175778406902</v>
      </c>
      <c r="O16" s="10">
        <f t="shared" si="5"/>
        <v>3324.6888194237076</v>
      </c>
      <c r="P16" s="10">
        <f t="shared" si="5"/>
        <v>13467.587131806187</v>
      </c>
      <c r="Q16" s="10">
        <f t="shared" si="5"/>
        <v>26148.529141159444</v>
      </c>
      <c r="R16" s="10">
        <f t="shared" si="5"/>
        <v>34236.688130153656</v>
      </c>
      <c r="S16" s="10">
        <f t="shared" si="5"/>
        <v>43843.406158600068</v>
      </c>
      <c r="T16" s="10">
        <f t="shared" si="5"/>
        <v>55576.292371789546</v>
      </c>
      <c r="U16" s="10">
        <f t="shared" si="5"/>
        <v>67332.369773730563</v>
      </c>
      <c r="V16" s="10">
        <f t="shared" si="5"/>
        <v>162652.79378039436</v>
      </c>
      <c r="W16" s="10">
        <f t="shared" si="6"/>
        <v>283193.17173060507</v>
      </c>
      <c r="X16" s="10">
        <f t="shared" si="6"/>
        <v>401671.3891770271</v>
      </c>
      <c r="Y16" s="10">
        <f t="shared" si="6"/>
        <v>555660.88248738868</v>
      </c>
      <c r="Z16" s="10">
        <f t="shared" si="6"/>
        <v>602970.90754057176</v>
      </c>
      <c r="AA16" s="10">
        <f t="shared" si="6"/>
        <v>742118.04004993464</v>
      </c>
      <c r="AB16" s="10">
        <f t="shared" si="6"/>
        <v>858073.98380773689</v>
      </c>
      <c r="AC16" s="10">
        <f t="shared" si="6"/>
        <v>1020412.3050686599</v>
      </c>
      <c r="AD16" s="10">
        <f t="shared" si="6"/>
        <v>1182750.6263295833</v>
      </c>
    </row>
    <row r="17" spans="1:30" ht="15.6" x14ac:dyDescent="0.55000000000000004">
      <c r="C17" s="12">
        <f t="shared" si="4"/>
        <v>1.6547656589524506E-2</v>
      </c>
      <c r="D17" s="13" t="s">
        <v>72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f t="shared" si="5"/>
        <v>227.16199208500001</v>
      </c>
      <c r="N17" s="10">
        <f t="shared" si="5"/>
        <v>1950.4913215973093</v>
      </c>
      <c r="O17" s="10">
        <f t="shared" si="5"/>
        <v>2056.3177918055821</v>
      </c>
      <c r="P17" s="10">
        <f t="shared" si="5"/>
        <v>3269.6730105728525</v>
      </c>
      <c r="Q17" s="10">
        <f t="shared" si="5"/>
        <v>13244.73012485956</v>
      </c>
      <c r="R17" s="10">
        <f t="shared" si="5"/>
        <v>25715.832260610365</v>
      </c>
      <c r="S17" s="10">
        <f t="shared" si="5"/>
        <v>33670.15117221322</v>
      </c>
      <c r="T17" s="10">
        <f t="shared" si="5"/>
        <v>43117.900529772509</v>
      </c>
      <c r="U17" s="10">
        <f t="shared" si="5"/>
        <v>54656.634971102161</v>
      </c>
      <c r="V17" s="10">
        <f t="shared" si="5"/>
        <v>66218.176841355991</v>
      </c>
      <c r="W17" s="10">
        <f t="shared" si="6"/>
        <v>159961.27120558964</v>
      </c>
      <c r="X17" s="10">
        <f t="shared" si="6"/>
        <v>278506.98837630876</v>
      </c>
      <c r="Y17" s="10">
        <f t="shared" si="6"/>
        <v>395024.66896708839</v>
      </c>
      <c r="Z17" s="10">
        <f t="shared" si="6"/>
        <v>546465.99702375522</v>
      </c>
      <c r="AA17" s="10">
        <f t="shared" si="6"/>
        <v>592993.15202911641</v>
      </c>
      <c r="AB17" s="10">
        <f t="shared" si="6"/>
        <v>729837.72557429736</v>
      </c>
      <c r="AC17" s="10">
        <f t="shared" si="6"/>
        <v>843874.87019528123</v>
      </c>
      <c r="AD17" s="10">
        <f t="shared" si="6"/>
        <v>1003526.8726646586</v>
      </c>
    </row>
    <row r="18" spans="1:30" ht="15.6" x14ac:dyDescent="0.55000000000000004">
      <c r="C18" s="12">
        <f t="shared" si="4"/>
        <v>2.1708557028176423E-2</v>
      </c>
      <c r="D18" s="13" t="s">
        <v>73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f t="shared" si="5"/>
        <v>222.23063302518864</v>
      </c>
      <c r="O18" s="10">
        <f t="shared" si="5"/>
        <v>1908.1489695094508</v>
      </c>
      <c r="P18" s="10">
        <f t="shared" si="5"/>
        <v>2011.6780997541168</v>
      </c>
      <c r="Q18" s="10">
        <f t="shared" si="5"/>
        <v>3198.6931275593424</v>
      </c>
      <c r="R18" s="10">
        <f t="shared" si="5"/>
        <v>12957.20614562124</v>
      </c>
      <c r="S18" s="10">
        <f t="shared" si="5"/>
        <v>25157.578649453884</v>
      </c>
      <c r="T18" s="10">
        <f t="shared" si="5"/>
        <v>32939.220775343907</v>
      </c>
      <c r="U18" s="10">
        <f t="shared" si="5"/>
        <v>42181.873127186707</v>
      </c>
      <c r="V18" s="10">
        <f t="shared" si="5"/>
        <v>53470.118293863765</v>
      </c>
      <c r="W18" s="10">
        <f t="shared" si="6"/>
        <v>64780.675773093542</v>
      </c>
      <c r="X18" s="10">
        <f t="shared" si="6"/>
        <v>156488.7428273235</v>
      </c>
      <c r="Y18" s="10">
        <f t="shared" si="6"/>
        <v>272461.00353639596</v>
      </c>
      <c r="Z18" s="10">
        <f t="shared" si="6"/>
        <v>386449.25341327983</v>
      </c>
      <c r="AA18" s="10">
        <f t="shared" si="6"/>
        <v>534603.00876340573</v>
      </c>
      <c r="AB18" s="10">
        <f t="shared" si="6"/>
        <v>580120.12637097423</v>
      </c>
      <c r="AC18" s="10">
        <f t="shared" si="6"/>
        <v>713994.00168735313</v>
      </c>
      <c r="AD18" s="10">
        <f t="shared" si="6"/>
        <v>825555.56445100193</v>
      </c>
    </row>
    <row r="19" spans="1:30" ht="15.6" x14ac:dyDescent="0.55000000000000004">
      <c r="C19" s="12">
        <f t="shared" si="4"/>
        <v>2.1708557028176423E-2</v>
      </c>
      <c r="D19" s="13" t="s">
        <v>74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f t="shared" si="6"/>
        <v>217.40632665475357</v>
      </c>
      <c r="P19" s="10">
        <f t="shared" si="6"/>
        <v>1866.7258087865989</v>
      </c>
      <c r="Q19" s="10">
        <f t="shared" si="6"/>
        <v>1968.0074710032709</v>
      </c>
      <c r="R19" s="10">
        <f t="shared" si="6"/>
        <v>3129.2541153840843</v>
      </c>
      <c r="S19" s="10">
        <f t="shared" si="6"/>
        <v>12675.923897083183</v>
      </c>
      <c r="T19" s="10">
        <f t="shared" si="6"/>
        <v>24611.443918651381</v>
      </c>
      <c r="U19" s="10">
        <f t="shared" si="6"/>
        <v>32224.157822678659</v>
      </c>
      <c r="V19" s="10">
        <f t="shared" si="6"/>
        <v>41266.165528849873</v>
      </c>
      <c r="W19" s="10">
        <f t="shared" si="6"/>
        <v>52309.359181578082</v>
      </c>
      <c r="X19" s="10">
        <f t="shared" si="6"/>
        <v>63374.380778749532</v>
      </c>
      <c r="Y19" s="10">
        <f t="shared" si="6"/>
        <v>153091.5980293889</v>
      </c>
      <c r="Z19" s="10">
        <f t="shared" si="6"/>
        <v>266546.26830317191</v>
      </c>
      <c r="AA19" s="10">
        <f t="shared" si="6"/>
        <v>378059.99775706144</v>
      </c>
      <c r="AB19" s="10">
        <f t="shared" si="6"/>
        <v>522997.54886023066</v>
      </c>
      <c r="AC19" s="10">
        <f t="shared" si="6"/>
        <v>567526.55552445701</v>
      </c>
      <c r="AD19" s="10">
        <f t="shared" si="6"/>
        <v>698494.22218394733</v>
      </c>
    </row>
    <row r="20" spans="1:30" ht="15.6" x14ac:dyDescent="0.55000000000000004">
      <c r="D20" s="9" t="s">
        <v>62</v>
      </c>
      <c r="E20" s="10">
        <f>SUM(E9:E19)</f>
        <v>247.52999827276881</v>
      </c>
      <c r="F20" s="10">
        <f t="shared" ref="F20:AD20" si="7">SUM(F9:F19)</f>
        <v>2371.8950717711618</v>
      </c>
      <c r="G20" s="10">
        <f t="shared" si="7"/>
        <v>4601.880220239037</v>
      </c>
      <c r="H20" s="10">
        <f t="shared" si="7"/>
        <v>8135.5603799455221</v>
      </c>
      <c r="I20" s="10">
        <f t="shared" si="7"/>
        <v>22508.580941074881</v>
      </c>
      <c r="J20" s="10">
        <f t="shared" si="7"/>
        <v>50388.842692635444</v>
      </c>
      <c r="K20" s="10">
        <f t="shared" si="7"/>
        <v>86755.684495796435</v>
      </c>
      <c r="L20" s="10">
        <f t="shared" si="7"/>
        <v>133113.09134776998</v>
      </c>
      <c r="M20" s="10">
        <f t="shared" si="7"/>
        <v>191607.71286203782</v>
      </c>
      <c r="N20" s="10">
        <f t="shared" si="7"/>
        <v>262146.5534587056</v>
      </c>
      <c r="O20" s="10">
        <f t="shared" si="7"/>
        <v>434159.83759809571</v>
      </c>
      <c r="P20" s="10">
        <f t="shared" si="7"/>
        <v>733940.83320769377</v>
      </c>
      <c r="Q20" s="10">
        <f t="shared" si="7"/>
        <v>1156844.4928311692</v>
      </c>
      <c r="R20" s="10">
        <f t="shared" si="7"/>
        <v>1741038.306481462</v>
      </c>
      <c r="S20" s="10">
        <f t="shared" si="7"/>
        <v>2369397.7787712449</v>
      </c>
      <c r="T20" s="10">
        <f t="shared" si="7"/>
        <v>3130907.481351851</v>
      </c>
      <c r="U20" s="10">
        <f t="shared" si="7"/>
        <v>3997348.1903430102</v>
      </c>
      <c r="V20" s="10">
        <f t="shared" si="7"/>
        <v>5021482.2586420979</v>
      </c>
      <c r="W20" s="10">
        <f t="shared" si="7"/>
        <v>6200101.094052908</v>
      </c>
      <c r="X20" s="10">
        <f t="shared" si="7"/>
        <v>7603009.4363434725</v>
      </c>
      <c r="Y20" s="10">
        <f t="shared" si="7"/>
        <v>9202226.963641163</v>
      </c>
      <c r="Z20" s="10">
        <f t="shared" si="7"/>
        <v>10867831.531842055</v>
      </c>
      <c r="AA20" s="10">
        <f t="shared" si="7"/>
        <v>12475911.497997014</v>
      </c>
      <c r="AB20" s="10">
        <f t="shared" si="7"/>
        <v>14028397.226834711</v>
      </c>
      <c r="AC20" s="10">
        <f t="shared" si="7"/>
        <v>15443153.786347056</v>
      </c>
      <c r="AD20" s="10">
        <f t="shared" si="7"/>
        <v>16844685.258760307</v>
      </c>
    </row>
    <row r="21" spans="1:30" ht="15.6" x14ac:dyDescent="0.55000000000000004">
      <c r="C21" s="9" t="s">
        <v>75</v>
      </c>
      <c r="D21" s="14"/>
      <c r="E21" s="10"/>
      <c r="F21" s="10"/>
      <c r="G21" s="10"/>
      <c r="H21" s="10"/>
      <c r="I21" s="10"/>
      <c r="J21" s="10">
        <f>0.4%*J35</f>
        <v>134169.79200000002</v>
      </c>
      <c r="K21" s="10">
        <f>0.2%*K35</f>
        <v>68756.771999999997</v>
      </c>
      <c r="L21" s="10"/>
      <c r="M21" s="10">
        <f>0.4%*M35</f>
        <v>139551.66</v>
      </c>
      <c r="N21" s="10">
        <f>0.7%*N35</f>
        <v>246177.81299999997</v>
      </c>
      <c r="O21" s="10">
        <f>1.1%*O35</f>
        <v>401001.31500000006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6" x14ac:dyDescent="0.55000000000000004"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6" x14ac:dyDescent="0.55000000000000004"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6" x14ac:dyDescent="0.55000000000000004">
      <c r="A24" s="9" t="s">
        <v>76</v>
      </c>
      <c r="C24" s="15">
        <f>AVERAGE(J37:N37)</f>
        <v>5.9036213945027338E-3</v>
      </c>
      <c r="D24" s="13" t="s">
        <v>64</v>
      </c>
      <c r="E24" s="10"/>
      <c r="F24" s="10"/>
      <c r="G24" s="10"/>
      <c r="H24" s="10"/>
      <c r="I24" s="10"/>
      <c r="J24" s="10">
        <v>2622550</v>
      </c>
      <c r="K24" s="10">
        <v>2679763</v>
      </c>
      <c r="L24" s="10"/>
      <c r="M24" s="10">
        <v>2347530</v>
      </c>
      <c r="N24" s="10">
        <v>2296506</v>
      </c>
      <c r="O24" s="10">
        <v>1646250</v>
      </c>
      <c r="P24" s="10">
        <f>P$6*(1-$C24)</f>
        <v>1637456.6670077816</v>
      </c>
      <c r="Q24" s="10">
        <f t="shared" ref="Q24:AD24" si="8">Q$6*(1-$C24)</f>
        <v>1711833.9639586662</v>
      </c>
      <c r="R24" s="10">
        <f t="shared" si="8"/>
        <v>2007080.588404499</v>
      </c>
      <c r="S24" s="10">
        <f t="shared" si="8"/>
        <v>2286421.6707926439</v>
      </c>
      <c r="T24" s="10">
        <f t="shared" si="8"/>
        <v>2286421.6707926439</v>
      </c>
      <c r="U24" s="10">
        <f t="shared" si="8"/>
        <v>2286421.6707926439</v>
      </c>
      <c r="V24" s="10">
        <f t="shared" si="8"/>
        <v>2286421.6707926439</v>
      </c>
      <c r="W24" s="10">
        <f t="shared" si="8"/>
        <v>2187012.0329320938</v>
      </c>
      <c r="X24" s="10">
        <f t="shared" si="8"/>
        <v>2087602.3950715442</v>
      </c>
      <c r="Y24" s="10">
        <f t="shared" si="8"/>
        <v>1988192.7572109946</v>
      </c>
      <c r="Z24" s="10">
        <f t="shared" si="8"/>
        <v>2087602.3950715442</v>
      </c>
      <c r="AA24" s="10">
        <f t="shared" si="8"/>
        <v>2137307.214001819</v>
      </c>
      <c r="AB24" s="10">
        <f t="shared" si="8"/>
        <v>2162159.6234669564</v>
      </c>
      <c r="AC24" s="10">
        <f t="shared" si="8"/>
        <v>2137307.214001819</v>
      </c>
      <c r="AD24" s="10">
        <f t="shared" si="8"/>
        <v>2137307.214001819</v>
      </c>
    </row>
    <row r="25" spans="1:30" ht="15.6" x14ac:dyDescent="0.55000000000000004">
      <c r="C25" s="15">
        <f t="shared" ref="C25:C33" si="9">AVERAGE(J38:N38)</f>
        <v>4.092368469391372E-3</v>
      </c>
      <c r="D25" s="13" t="s">
        <v>65</v>
      </c>
      <c r="E25" s="10"/>
      <c r="F25" s="10"/>
      <c r="G25" s="10"/>
      <c r="H25" s="10"/>
      <c r="I25" s="10"/>
      <c r="J25" s="10">
        <v>2459044</v>
      </c>
      <c r="K25" s="10">
        <v>2616513</v>
      </c>
      <c r="L25" s="10"/>
      <c r="M25" s="10">
        <v>2510711</v>
      </c>
      <c r="N25" s="10">
        <v>2333720</v>
      </c>
      <c r="O25" s="10">
        <v>2276500</v>
      </c>
      <c r="P25" s="10">
        <f t="shared" ref="P25:AD34" si="10">O24*(1-$C25)</f>
        <v>1639512.9384072644</v>
      </c>
      <c r="Q25" s="10">
        <f t="shared" si="10"/>
        <v>1630755.5909737241</v>
      </c>
      <c r="R25" s="10">
        <f t="shared" si="10"/>
        <v>1704828.5086197285</v>
      </c>
      <c r="S25" s="10">
        <f t="shared" si="10"/>
        <v>1998866.8750889848</v>
      </c>
      <c r="T25" s="10">
        <f t="shared" si="10"/>
        <v>2277064.7908393587</v>
      </c>
      <c r="U25" s="10">
        <f t="shared" si="10"/>
        <v>2277064.7908393587</v>
      </c>
      <c r="V25" s="10">
        <f t="shared" si="10"/>
        <v>2277064.7908393587</v>
      </c>
      <c r="W25" s="10">
        <f t="shared" si="10"/>
        <v>2277064.7908393587</v>
      </c>
      <c r="X25" s="10">
        <f t="shared" si="10"/>
        <v>2178061.9738463429</v>
      </c>
      <c r="Y25" s="10">
        <f t="shared" si="10"/>
        <v>2079059.1568533273</v>
      </c>
      <c r="Z25" s="10">
        <f t="shared" si="10"/>
        <v>1980056.3398603119</v>
      </c>
      <c r="AA25" s="10">
        <f t="shared" si="10"/>
        <v>2079059.1568533273</v>
      </c>
      <c r="AB25" s="10">
        <f t="shared" si="10"/>
        <v>2128560.565349835</v>
      </c>
      <c r="AC25" s="10">
        <f t="shared" si="10"/>
        <v>2153311.2695980892</v>
      </c>
      <c r="AD25" s="10">
        <f t="shared" si="10"/>
        <v>2128560.565349835</v>
      </c>
    </row>
    <row r="26" spans="1:30" ht="15.6" x14ac:dyDescent="0.55000000000000004">
      <c r="C26" s="15">
        <f t="shared" si="9"/>
        <v>8.1546450927145742E-3</v>
      </c>
      <c r="D26" s="13" t="s">
        <v>66</v>
      </c>
      <c r="E26" s="10"/>
      <c r="F26" s="10"/>
      <c r="G26" s="10"/>
      <c r="H26" s="10"/>
      <c r="I26" s="10"/>
      <c r="J26" s="10">
        <v>2229797</v>
      </c>
      <c r="K26" s="10">
        <v>2443580</v>
      </c>
      <c r="L26" s="10"/>
      <c r="M26" s="10">
        <v>2646155</v>
      </c>
      <c r="N26" s="10">
        <v>2485552</v>
      </c>
      <c r="O26" s="10">
        <v>2288133</v>
      </c>
      <c r="P26" s="10">
        <f t="shared" si="10"/>
        <v>2257935.9504464353</v>
      </c>
      <c r="Q26" s="10">
        <f t="shared" si="10"/>
        <v>1626143.2922696397</v>
      </c>
      <c r="R26" s="10">
        <f t="shared" si="10"/>
        <v>1617457.3578963734</v>
      </c>
      <c r="S26" s="10">
        <f t="shared" si="10"/>
        <v>1690926.2371879928</v>
      </c>
      <c r="T26" s="10">
        <f t="shared" si="10"/>
        <v>1982566.8251350508</v>
      </c>
      <c r="U26" s="10">
        <f t="shared" si="10"/>
        <v>2258496.1356169474</v>
      </c>
      <c r="V26" s="10">
        <f t="shared" si="10"/>
        <v>2258496.1356169474</v>
      </c>
      <c r="W26" s="10">
        <f t="shared" si="10"/>
        <v>2258496.1356169474</v>
      </c>
      <c r="X26" s="10">
        <f t="shared" si="10"/>
        <v>2258496.1356169474</v>
      </c>
      <c r="Y26" s="10">
        <f t="shared" si="10"/>
        <v>2160300.6514596888</v>
      </c>
      <c r="Z26" s="10">
        <f t="shared" si="10"/>
        <v>2062105.1673024299</v>
      </c>
      <c r="AA26" s="10">
        <f t="shared" si="10"/>
        <v>1963909.6831451717</v>
      </c>
      <c r="AB26" s="10">
        <f t="shared" si="10"/>
        <v>2062105.1673024299</v>
      </c>
      <c r="AC26" s="10">
        <f t="shared" si="10"/>
        <v>2111202.909381059</v>
      </c>
      <c r="AD26" s="10">
        <f t="shared" si="10"/>
        <v>2135751.7804203741</v>
      </c>
    </row>
    <row r="27" spans="1:30" ht="15.6" x14ac:dyDescent="0.55000000000000004">
      <c r="C27" s="15">
        <f t="shared" si="9"/>
        <v>1.1168373760285843E-2</v>
      </c>
      <c r="D27" s="13" t="s">
        <v>67</v>
      </c>
      <c r="E27" s="10"/>
      <c r="F27" s="10"/>
      <c r="G27" s="10"/>
      <c r="H27" s="10"/>
      <c r="I27" s="10"/>
      <c r="J27" s="10">
        <v>1984883</v>
      </c>
      <c r="K27" s="10">
        <v>2209963</v>
      </c>
      <c r="L27" s="10"/>
      <c r="M27" s="10">
        <v>2562657</v>
      </c>
      <c r="N27" s="10">
        <v>2610586</v>
      </c>
      <c r="O27" s="10">
        <v>2372755</v>
      </c>
      <c r="P27" s="10">
        <f t="shared" si="10"/>
        <v>2262578.2754427558</v>
      </c>
      <c r="Q27" s="10">
        <f t="shared" si="10"/>
        <v>2232718.4778250633</v>
      </c>
      <c r="R27" s="10">
        <f t="shared" si="10"/>
        <v>1607981.9161937905</v>
      </c>
      <c r="S27" s="10">
        <f t="shared" si="10"/>
        <v>1599392.9895820622</v>
      </c>
      <c r="T27" s="10">
        <f t="shared" si="10"/>
        <v>1672041.3409700035</v>
      </c>
      <c r="U27" s="10">
        <f t="shared" si="10"/>
        <v>1960424.7778271991</v>
      </c>
      <c r="V27" s="10">
        <f t="shared" si="10"/>
        <v>2233272.4066382162</v>
      </c>
      <c r="W27" s="10">
        <f t="shared" si="10"/>
        <v>2233272.4066382162</v>
      </c>
      <c r="X27" s="10">
        <f t="shared" si="10"/>
        <v>2233272.4066382162</v>
      </c>
      <c r="Y27" s="10">
        <f t="shared" si="10"/>
        <v>2233272.4066382162</v>
      </c>
      <c r="Z27" s="10">
        <f t="shared" si="10"/>
        <v>2136173.6063495977</v>
      </c>
      <c r="AA27" s="10">
        <f t="shared" si="10"/>
        <v>2039074.8060609794</v>
      </c>
      <c r="AB27" s="10">
        <f t="shared" si="10"/>
        <v>1941976.0057723618</v>
      </c>
      <c r="AC27" s="10">
        <f t="shared" si="10"/>
        <v>2039074.8060609794</v>
      </c>
      <c r="AD27" s="10">
        <f t="shared" si="10"/>
        <v>2087624.2062052884</v>
      </c>
    </row>
    <row r="28" spans="1:30" ht="15.6" x14ac:dyDescent="0.55000000000000004">
      <c r="C28" s="15">
        <f t="shared" si="9"/>
        <v>1.2597694490372846E-2</v>
      </c>
      <c r="D28" s="13" t="s">
        <v>68</v>
      </c>
      <c r="E28" s="10"/>
      <c r="F28" s="10"/>
      <c r="G28" s="10"/>
      <c r="H28" s="10"/>
      <c r="I28" s="10"/>
      <c r="J28" s="10">
        <v>1860448</v>
      </c>
      <c r="K28" s="10">
        <v>1963985</v>
      </c>
      <c r="L28" s="10"/>
      <c r="M28" s="10">
        <v>2379064</v>
      </c>
      <c r="N28" s="10">
        <v>2525071</v>
      </c>
      <c r="O28" s="10">
        <v>2539709</v>
      </c>
      <c r="P28" s="10">
        <f t="shared" si="10"/>
        <v>2342863.7574094953</v>
      </c>
      <c r="Q28" s="10">
        <f t="shared" si="10"/>
        <v>2234075.0055681732</v>
      </c>
      <c r="R28" s="10">
        <f t="shared" si="10"/>
        <v>2204591.3725584126</v>
      </c>
      <c r="S28" s="10">
        <f t="shared" si="10"/>
        <v>1587725.0512675368</v>
      </c>
      <c r="T28" s="10">
        <f t="shared" si="10"/>
        <v>1579244.3253292632</v>
      </c>
      <c r="U28" s="10">
        <f t="shared" si="10"/>
        <v>1650977.4749811902</v>
      </c>
      <c r="V28" s="10">
        <f t="shared" si="10"/>
        <v>1935727.945404775</v>
      </c>
      <c r="W28" s="10">
        <f t="shared" si="10"/>
        <v>2205138.3231456084</v>
      </c>
      <c r="X28" s="10">
        <f t="shared" si="10"/>
        <v>2205138.3231456084</v>
      </c>
      <c r="Y28" s="10">
        <f t="shared" si="10"/>
        <v>2205138.3231456084</v>
      </c>
      <c r="Z28" s="10">
        <f t="shared" si="10"/>
        <v>2205138.3231456084</v>
      </c>
      <c r="AA28" s="10">
        <f t="shared" si="10"/>
        <v>2109262.7438784074</v>
      </c>
      <c r="AB28" s="10">
        <f t="shared" si="10"/>
        <v>2013387.1646112069</v>
      </c>
      <c r="AC28" s="10">
        <f t="shared" si="10"/>
        <v>1917511.585344007</v>
      </c>
      <c r="AD28" s="10">
        <f t="shared" si="10"/>
        <v>2013387.1646112069</v>
      </c>
    </row>
    <row r="29" spans="1:30" ht="15.6" x14ac:dyDescent="0.55000000000000004">
      <c r="C29" s="15">
        <f t="shared" si="9"/>
        <v>1.0296922762608296E-2</v>
      </c>
      <c r="D29" s="13" t="s">
        <v>69</v>
      </c>
      <c r="E29" s="10"/>
      <c r="F29" s="10"/>
      <c r="G29" s="10"/>
      <c r="H29" s="10"/>
      <c r="I29" s="10"/>
      <c r="J29" s="10">
        <v>1935386</v>
      </c>
      <c r="K29" s="10">
        <v>1842529</v>
      </c>
      <c r="L29" s="10"/>
      <c r="M29" s="10">
        <v>2156326</v>
      </c>
      <c r="N29" s="10">
        <v>2352984</v>
      </c>
      <c r="O29" s="10">
        <v>2470111</v>
      </c>
      <c r="P29" s="10">
        <f t="shared" si="10"/>
        <v>2513557.8125874987</v>
      </c>
      <c r="Q29" s="10">
        <f t="shared" si="10"/>
        <v>2318739.4702561353</v>
      </c>
      <c r="R29" s="10">
        <f t="shared" si="10"/>
        <v>2211070.9077899642</v>
      </c>
      <c r="S29" s="10">
        <f t="shared" si="10"/>
        <v>2181890.8654720662</v>
      </c>
      <c r="T29" s="10">
        <f t="shared" si="10"/>
        <v>1571376.3690463768</v>
      </c>
      <c r="U29" s="10">
        <f t="shared" si="10"/>
        <v>1562982.9684880604</v>
      </c>
      <c r="V29" s="10">
        <f t="shared" si="10"/>
        <v>1633977.4874385027</v>
      </c>
      <c r="W29" s="10">
        <f t="shared" si="10"/>
        <v>1915795.9042615197</v>
      </c>
      <c r="X29" s="10">
        <f t="shared" si="10"/>
        <v>2182432.1841513105</v>
      </c>
      <c r="Y29" s="10">
        <f t="shared" si="10"/>
        <v>2182432.1841513105</v>
      </c>
      <c r="Z29" s="10">
        <f t="shared" si="10"/>
        <v>2182432.1841513105</v>
      </c>
      <c r="AA29" s="10">
        <f t="shared" si="10"/>
        <v>2182432.1841513105</v>
      </c>
      <c r="AB29" s="10">
        <f t="shared" si="10"/>
        <v>2087543.8283186441</v>
      </c>
      <c r="AC29" s="10">
        <f t="shared" si="10"/>
        <v>1992655.4724859784</v>
      </c>
      <c r="AD29" s="10">
        <f t="shared" si="10"/>
        <v>1897767.1166533132</v>
      </c>
    </row>
    <row r="30" spans="1:30" ht="15.6" x14ac:dyDescent="0.55000000000000004">
      <c r="C30" s="15">
        <f t="shared" si="9"/>
        <v>1.0185743676067616E-2</v>
      </c>
      <c r="D30" s="13" t="s">
        <v>70</v>
      </c>
      <c r="E30" s="10"/>
      <c r="F30" s="10"/>
      <c r="G30" s="10"/>
      <c r="H30" s="10"/>
      <c r="I30" s="10"/>
      <c r="J30" s="10">
        <v>1898716</v>
      </c>
      <c r="K30" s="10">
        <v>1917222</v>
      </c>
      <c r="L30" s="10"/>
      <c r="M30" s="10">
        <v>1919838</v>
      </c>
      <c r="N30" s="10">
        <v>2132636</v>
      </c>
      <c r="O30" s="10">
        <v>2297801</v>
      </c>
      <c r="P30" s="10">
        <f t="shared" si="10"/>
        <v>2444951.0825025649</v>
      </c>
      <c r="Q30" s="10">
        <f t="shared" si="10"/>
        <v>2487955.3569935053</v>
      </c>
      <c r="R30" s="10">
        <f t="shared" si="10"/>
        <v>2295121.3843605258</v>
      </c>
      <c r="S30" s="10">
        <f t="shared" si="10"/>
        <v>2188549.5062736054</v>
      </c>
      <c r="T30" s="10">
        <f t="shared" si="10"/>
        <v>2159666.6843872145</v>
      </c>
      <c r="U30" s="10">
        <f t="shared" si="10"/>
        <v>1555370.7321326407</v>
      </c>
      <c r="V30" s="10">
        <f t="shared" si="10"/>
        <v>1547062.8246009818</v>
      </c>
      <c r="W30" s="10">
        <f t="shared" si="10"/>
        <v>1617334.2115789892</v>
      </c>
      <c r="X30" s="10">
        <f t="shared" si="10"/>
        <v>1896282.0982450517</v>
      </c>
      <c r="Y30" s="10">
        <f t="shared" si="10"/>
        <v>2160202.4893331449</v>
      </c>
      <c r="Z30" s="10">
        <f t="shared" si="10"/>
        <v>2160202.4893331449</v>
      </c>
      <c r="AA30" s="10">
        <f t="shared" si="10"/>
        <v>2160202.4893331449</v>
      </c>
      <c r="AB30" s="10">
        <f t="shared" si="10"/>
        <v>2160202.4893331449</v>
      </c>
      <c r="AC30" s="10">
        <f t="shared" si="10"/>
        <v>2066280.6419708335</v>
      </c>
      <c r="AD30" s="10">
        <f t="shared" si="10"/>
        <v>1972358.7946085229</v>
      </c>
    </row>
    <row r="31" spans="1:30" ht="15.6" x14ac:dyDescent="0.55000000000000004">
      <c r="C31" s="15">
        <f t="shared" si="9"/>
        <v>1.2319735914107732E-2</v>
      </c>
      <c r="D31" s="13" t="s">
        <v>71</v>
      </c>
      <c r="E31" s="10"/>
      <c r="F31" s="10"/>
      <c r="G31" s="10"/>
      <c r="H31" s="10"/>
      <c r="I31" s="10"/>
      <c r="J31" s="10">
        <v>1995199</v>
      </c>
      <c r="K31" s="10">
        <v>1877340</v>
      </c>
      <c r="L31" s="10"/>
      <c r="M31" s="10">
        <v>1795516</v>
      </c>
      <c r="N31" s="10">
        <v>1894148</v>
      </c>
      <c r="O31" s="10">
        <v>2084332</v>
      </c>
      <c r="P31" s="10">
        <f t="shared" si="10"/>
        <v>2269492.6984968274</v>
      </c>
      <c r="Q31" s="10">
        <f t="shared" si="10"/>
        <v>2414829.9308432215</v>
      </c>
      <c r="R31" s="10">
        <f t="shared" si="10"/>
        <v>2457304.4040292557</v>
      </c>
      <c r="S31" s="10">
        <f t="shared" si="10"/>
        <v>2266846.0950143826</v>
      </c>
      <c r="T31" s="10">
        <f t="shared" si="10"/>
        <v>2161587.1543213637</v>
      </c>
      <c r="U31" s="10">
        <f t="shared" si="10"/>
        <v>2133060.1611730675</v>
      </c>
      <c r="V31" s="10">
        <f t="shared" si="10"/>
        <v>1536208.9754642341</v>
      </c>
      <c r="W31" s="10">
        <f t="shared" si="10"/>
        <v>1528003.4191593642</v>
      </c>
      <c r="X31" s="10">
        <f t="shared" si="10"/>
        <v>1597409.0812074845</v>
      </c>
      <c r="Y31" s="10">
        <f t="shared" si="10"/>
        <v>1872920.4035760225</v>
      </c>
      <c r="Z31" s="10">
        <f t="shared" si="10"/>
        <v>2133589.3651435622</v>
      </c>
      <c r="AA31" s="10">
        <f t="shared" si="10"/>
        <v>2133589.3651435622</v>
      </c>
      <c r="AB31" s="10">
        <f t="shared" si="10"/>
        <v>2133589.3651435622</v>
      </c>
      <c r="AC31" s="10">
        <f t="shared" si="10"/>
        <v>2133589.3651435622</v>
      </c>
      <c r="AD31" s="10">
        <f t="shared" si="10"/>
        <v>2040824.6101373199</v>
      </c>
    </row>
    <row r="32" spans="1:30" ht="15.6" x14ac:dyDescent="0.55000000000000004">
      <c r="C32" s="15">
        <f t="shared" si="9"/>
        <v>1.6547656589524506E-2</v>
      </c>
      <c r="D32" s="13" t="s">
        <v>72</v>
      </c>
      <c r="E32" s="10"/>
      <c r="F32" s="10"/>
      <c r="G32" s="10"/>
      <c r="H32" s="10"/>
      <c r="I32" s="10"/>
      <c r="J32" s="10">
        <v>2260520</v>
      </c>
      <c r="K32" s="10">
        <v>1962957</v>
      </c>
      <c r="L32" s="10"/>
      <c r="M32" s="10">
        <v>1860000</v>
      </c>
      <c r="N32" s="10">
        <v>1765108</v>
      </c>
      <c r="O32" s="10">
        <v>1850516</v>
      </c>
      <c r="P32" s="10">
        <f t="shared" si="10"/>
        <v>2049841.1898454432</v>
      </c>
      <c r="Q32" s="10">
        <f t="shared" si="10"/>
        <v>2231937.9126896686</v>
      </c>
      <c r="R32" s="10">
        <f t="shared" si="10"/>
        <v>2374870.1544255228</v>
      </c>
      <c r="S32" s="10">
        <f t="shared" si="10"/>
        <v>2416641.7746154536</v>
      </c>
      <c r="T32" s="10">
        <f t="shared" si="10"/>
        <v>2229335.1042927802</v>
      </c>
      <c r="U32" s="10">
        <f t="shared" si="10"/>
        <v>2125817.9524033261</v>
      </c>
      <c r="V32" s="10">
        <f t="shared" si="10"/>
        <v>2097763.0141411796</v>
      </c>
      <c r="W32" s="10">
        <f t="shared" si="10"/>
        <v>1510788.3168885068</v>
      </c>
      <c r="X32" s="10">
        <f t="shared" si="10"/>
        <v>1502718.5433114958</v>
      </c>
      <c r="Y32" s="10">
        <f t="shared" si="10"/>
        <v>1570975.7042986751</v>
      </c>
      <c r="Z32" s="10">
        <f t="shared" si="10"/>
        <v>1841927.9599181328</v>
      </c>
      <c r="AA32" s="10">
        <f t="shared" si="10"/>
        <v>2098283.4610261051</v>
      </c>
      <c r="AB32" s="10">
        <f t="shared" si="10"/>
        <v>2098283.4610261051</v>
      </c>
      <c r="AC32" s="10">
        <f t="shared" si="10"/>
        <v>2098283.4610261051</v>
      </c>
      <c r="AD32" s="10">
        <f t="shared" si="10"/>
        <v>2098283.4610261051</v>
      </c>
    </row>
    <row r="33" spans="1:30" ht="15.6" x14ac:dyDescent="0.55000000000000004">
      <c r="C33" s="15">
        <f t="shared" si="9"/>
        <v>2.1708557028176423E-2</v>
      </c>
      <c r="D33" s="13" t="s">
        <v>73</v>
      </c>
      <c r="E33" s="10"/>
      <c r="F33" s="10"/>
      <c r="G33" s="10"/>
      <c r="H33" s="10"/>
      <c r="I33" s="10"/>
      <c r="J33" s="10">
        <v>2145040</v>
      </c>
      <c r="K33" s="10">
        <v>2211394</v>
      </c>
      <c r="L33" s="10"/>
      <c r="M33" s="10">
        <v>1804086</v>
      </c>
      <c r="N33" s="10">
        <v>1819666</v>
      </c>
      <c r="O33" s="10">
        <v>1717777</v>
      </c>
      <c r="P33" s="10">
        <f t="shared" si="10"/>
        <v>1810343.9678824472</v>
      </c>
      <c r="Q33" s="10">
        <f t="shared" si="10"/>
        <v>2005342.0954769785</v>
      </c>
      <c r="R33" s="10">
        <f t="shared" si="10"/>
        <v>2183485.761228696</v>
      </c>
      <c r="S33" s="10">
        <f t="shared" si="10"/>
        <v>2323315.1502436623</v>
      </c>
      <c r="T33" s="10">
        <f t="shared" si="10"/>
        <v>2364179.9688345403</v>
      </c>
      <c r="U33" s="10">
        <f t="shared" si="10"/>
        <v>2180939.4560463247</v>
      </c>
      <c r="V33" s="10">
        <f t="shared" si="10"/>
        <v>2079669.5121520571</v>
      </c>
      <c r="W33" s="10">
        <f t="shared" si="10"/>
        <v>2052223.6061170965</v>
      </c>
      <c r="X33" s="10">
        <f t="shared" si="10"/>
        <v>1477991.28255383</v>
      </c>
      <c r="Y33" s="10">
        <f t="shared" si="10"/>
        <v>1470096.6921167199</v>
      </c>
      <c r="Z33" s="10">
        <f t="shared" si="10"/>
        <v>1536872.0886320276</v>
      </c>
      <c r="AA33" s="10">
        <f t="shared" si="10"/>
        <v>1801942.3617584573</v>
      </c>
      <c r="AB33" s="10">
        <f t="shared" si="10"/>
        <v>2052732.7548511405</v>
      </c>
      <c r="AC33" s="10">
        <f t="shared" si="10"/>
        <v>2052732.7548511405</v>
      </c>
      <c r="AD33" s="10">
        <f t="shared" si="10"/>
        <v>2052732.7548511405</v>
      </c>
    </row>
    <row r="34" spans="1:30" ht="15.6" x14ac:dyDescent="0.55000000000000004">
      <c r="C34" s="15">
        <f>C33</f>
        <v>2.1708557028176423E-2</v>
      </c>
      <c r="D34" s="13" t="s">
        <v>74</v>
      </c>
      <c r="E34" s="10"/>
      <c r="F34" s="10"/>
      <c r="G34" s="10"/>
      <c r="H34" s="10"/>
      <c r="I34" s="10"/>
      <c r="J34" s="10">
        <v>12150865</v>
      </c>
      <c r="K34" s="10">
        <v>12653140</v>
      </c>
      <c r="L34" s="10"/>
      <c r="M34" s="10">
        <v>12906032</v>
      </c>
      <c r="N34" s="10">
        <v>12952282</v>
      </c>
      <c r="O34" s="10">
        <v>14910781</v>
      </c>
      <c r="P34" s="10">
        <f t="shared" si="10"/>
        <v>1680486.5400338101</v>
      </c>
      <c r="Q34" s="10">
        <f t="shared" si="10"/>
        <v>1771044.0126150558</v>
      </c>
      <c r="R34" s="10">
        <f t="shared" si="10"/>
        <v>1961809.0122363137</v>
      </c>
      <c r="S34" s="10">
        <f t="shared" si="10"/>
        <v>2136085.4360608514</v>
      </c>
      <c r="T34" s="10">
        <f t="shared" si="10"/>
        <v>2272879.3308101716</v>
      </c>
      <c r="U34" s="10">
        <f t="shared" si="10"/>
        <v>2312857.0331562236</v>
      </c>
      <c r="V34" s="10">
        <f t="shared" si="10"/>
        <v>2133594.4074897431</v>
      </c>
      <c r="W34" s="10">
        <f t="shared" si="10"/>
        <v>2034522.8879477445</v>
      </c>
      <c r="X34" s="10">
        <f t="shared" si="10"/>
        <v>2007672.7929291336</v>
      </c>
      <c r="Y34" s="10">
        <f t="shared" si="10"/>
        <v>1445906.2245093626</v>
      </c>
      <c r="Z34" s="10">
        <f t="shared" si="10"/>
        <v>1438183.0142389706</v>
      </c>
      <c r="AA34" s="10">
        <f t="shared" si="10"/>
        <v>1503508.8132509466</v>
      </c>
      <c r="AB34" s="10">
        <f t="shared" si="10"/>
        <v>1762824.7932367369</v>
      </c>
      <c r="AC34" s="10">
        <f t="shared" si="10"/>
        <v>2008170.8887788488</v>
      </c>
      <c r="AD34" s="10">
        <f t="shared" si="10"/>
        <v>2008170.8887788488</v>
      </c>
    </row>
    <row r="35" spans="1:30" ht="15.6" x14ac:dyDescent="0.55000000000000004">
      <c r="D35" s="9" t="s">
        <v>62</v>
      </c>
      <c r="E35" s="10">
        <f t="shared" ref="E35:L35" si="11">SUM(E24:E34)</f>
        <v>0</v>
      </c>
      <c r="F35" s="10">
        <f t="shared" si="11"/>
        <v>0</v>
      </c>
      <c r="G35" s="10">
        <f t="shared" si="11"/>
        <v>0</v>
      </c>
      <c r="H35" s="10">
        <f t="shared" si="11"/>
        <v>0</v>
      </c>
      <c r="I35" s="10">
        <f t="shared" si="11"/>
        <v>0</v>
      </c>
      <c r="J35" s="10">
        <f t="shared" si="11"/>
        <v>33542448</v>
      </c>
      <c r="K35" s="10">
        <f t="shared" si="11"/>
        <v>34378386</v>
      </c>
      <c r="L35" s="10">
        <f t="shared" si="11"/>
        <v>0</v>
      </c>
      <c r="M35" s="10">
        <f>SUM(M24:M34)</f>
        <v>34887915</v>
      </c>
      <c r="N35" s="10">
        <f t="shared" ref="N35:AD35" si="12">SUM(N24:N34)</f>
        <v>35168259</v>
      </c>
      <c r="O35" s="10">
        <f t="shared" si="12"/>
        <v>36454665</v>
      </c>
      <c r="P35" s="10">
        <f t="shared" si="12"/>
        <v>22909020.880062323</v>
      </c>
      <c r="Q35" s="10">
        <f t="shared" si="12"/>
        <v>22665375.109469827</v>
      </c>
      <c r="R35" s="10">
        <f t="shared" si="12"/>
        <v>22625601.367743082</v>
      </c>
      <c r="S35" s="10">
        <f t="shared" si="12"/>
        <v>22676661.651599243</v>
      </c>
      <c r="T35" s="10">
        <f t="shared" si="12"/>
        <v>22556363.564758766</v>
      </c>
      <c r="U35" s="10">
        <f t="shared" si="12"/>
        <v>22304413.153456982</v>
      </c>
      <c r="V35" s="10">
        <f t="shared" si="12"/>
        <v>22019259.17057864</v>
      </c>
      <c r="W35" s="10">
        <f t="shared" si="12"/>
        <v>21819652.035125446</v>
      </c>
      <c r="X35" s="10">
        <f t="shared" si="12"/>
        <v>21627077.216716964</v>
      </c>
      <c r="Y35" s="10">
        <f t="shared" si="12"/>
        <v>21368496.993293069</v>
      </c>
      <c r="Z35" s="10">
        <f t="shared" si="12"/>
        <v>21764282.933146644</v>
      </c>
      <c r="AA35" s="10">
        <f t="shared" si="12"/>
        <v>22208572.278603233</v>
      </c>
      <c r="AB35" s="10">
        <f t="shared" si="12"/>
        <v>22603365.218412124</v>
      </c>
      <c r="AC35" s="10">
        <f t="shared" si="12"/>
        <v>22710120.368642423</v>
      </c>
      <c r="AD35" s="10">
        <f t="shared" si="12"/>
        <v>22572768.556643773</v>
      </c>
    </row>
    <row r="36" spans="1:30" ht="15.6" x14ac:dyDescent="0.55000000000000004"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15.6" hidden="1" x14ac:dyDescent="0.55000000000000004">
      <c r="A37" s="9" t="s">
        <v>58</v>
      </c>
      <c r="C37" s="14"/>
      <c r="D37" s="13" t="s">
        <v>64</v>
      </c>
      <c r="E37" s="16"/>
      <c r="F37" s="16"/>
      <c r="G37" s="16"/>
      <c r="H37" s="16"/>
      <c r="I37" s="16"/>
      <c r="J37" s="11">
        <f>1-J24/J6</f>
        <v>4.1590991162721025E-3</v>
      </c>
      <c r="K37" s="11">
        <f t="shared" ref="K37:O37" si="13">1-K24/K6</f>
        <v>4.8362550904528234E-3</v>
      </c>
      <c r="L37" s="11"/>
      <c r="M37" s="11">
        <f t="shared" si="13"/>
        <v>8.2871912897678479E-3</v>
      </c>
      <c r="N37" s="11">
        <f t="shared" si="13"/>
        <v>6.3319400815181615E-3</v>
      </c>
      <c r="O37" s="11">
        <f t="shared" si="13"/>
        <v>-9.3104868968967303E-3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15.6" hidden="1" x14ac:dyDescent="0.55000000000000004">
      <c r="C38" s="14"/>
      <c r="D38" s="13" t="s">
        <v>65</v>
      </c>
      <c r="E38" s="16"/>
      <c r="F38" s="16"/>
      <c r="G38" s="16"/>
      <c r="H38" s="16"/>
      <c r="I38" s="16"/>
      <c r="J38" s="16"/>
      <c r="K38" s="11">
        <f>1-K25/J24</f>
        <v>2.3019580179596266E-3</v>
      </c>
      <c r="L38" s="11"/>
      <c r="M38" s="11"/>
      <c r="N38" s="11">
        <f t="shared" ref="N38:O38" si="14">1-N25/M24</f>
        <v>5.8827789208231174E-3</v>
      </c>
      <c r="O38" s="11">
        <f t="shared" si="14"/>
        <v>8.7114947663973208E-3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15.6" hidden="1" x14ac:dyDescent="0.55000000000000004">
      <c r="C39" s="14"/>
      <c r="D39" s="13" t="s">
        <v>66</v>
      </c>
      <c r="E39" s="16"/>
      <c r="F39" s="16"/>
      <c r="G39" s="16"/>
      <c r="H39" s="16"/>
      <c r="I39" s="16"/>
      <c r="J39" s="16"/>
      <c r="K39" s="11">
        <f t="shared" ref="K39:O46" si="15">1-K26/J25</f>
        <v>6.288622733062077E-3</v>
      </c>
      <c r="L39" s="11"/>
      <c r="M39" s="11"/>
      <c r="N39" s="11">
        <f t="shared" si="15"/>
        <v>1.0020667452367071E-2</v>
      </c>
      <c r="O39" s="11">
        <f t="shared" si="15"/>
        <v>1.9534048643367719E-2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15.6" hidden="1" x14ac:dyDescent="0.55000000000000004">
      <c r="C40" s="14"/>
      <c r="D40" s="13" t="s">
        <v>67</v>
      </c>
      <c r="E40" s="16"/>
      <c r="F40" s="16"/>
      <c r="G40" s="16"/>
      <c r="H40" s="16"/>
      <c r="I40" s="16"/>
      <c r="J40" s="16"/>
      <c r="K40" s="11">
        <f t="shared" si="15"/>
        <v>8.8949801259935457E-3</v>
      </c>
      <c r="L40" s="11"/>
      <c r="M40" s="11"/>
      <c r="N40" s="11">
        <f t="shared" si="15"/>
        <v>1.3441767394578141E-2</v>
      </c>
      <c r="O40" s="11">
        <f t="shared" si="15"/>
        <v>4.5381066258118885E-2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15.6" hidden="1" x14ac:dyDescent="0.55000000000000004">
      <c r="C41" s="14"/>
      <c r="D41" s="13" t="s">
        <v>68</v>
      </c>
      <c r="E41" s="16"/>
      <c r="F41" s="16"/>
      <c r="G41" s="16"/>
      <c r="H41" s="16"/>
      <c r="I41" s="16"/>
      <c r="J41" s="16"/>
      <c r="K41" s="11">
        <f t="shared" si="15"/>
        <v>1.0528580274001054E-2</v>
      </c>
      <c r="L41" s="11"/>
      <c r="M41" s="11"/>
      <c r="N41" s="11">
        <f t="shared" si="15"/>
        <v>1.4666808706744638E-2</v>
      </c>
      <c r="O41" s="11">
        <f t="shared" si="15"/>
        <v>2.714984298544465E-2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15.6" hidden="1" x14ac:dyDescent="0.55000000000000004">
      <c r="C42" s="14"/>
      <c r="D42" s="13" t="s">
        <v>69</v>
      </c>
      <c r="E42" s="16"/>
      <c r="F42" s="16"/>
      <c r="G42" s="16"/>
      <c r="H42" s="16"/>
      <c r="I42" s="16"/>
      <c r="J42" s="16"/>
      <c r="K42" s="11">
        <f t="shared" si="15"/>
        <v>9.6315511102702533E-3</v>
      </c>
      <c r="L42" s="11"/>
      <c r="M42" s="11"/>
      <c r="N42" s="11">
        <f t="shared" si="15"/>
        <v>1.0962294414946339E-2</v>
      </c>
      <c r="O42" s="11">
        <f t="shared" si="15"/>
        <v>2.1765724607347714E-2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ht="15.6" hidden="1" x14ac:dyDescent="0.55000000000000004">
      <c r="C43" s="14"/>
      <c r="D43" s="13" t="s">
        <v>70</v>
      </c>
      <c r="E43" s="16"/>
      <c r="F43" s="16"/>
      <c r="G43" s="16"/>
      <c r="H43" s="16"/>
      <c r="I43" s="16"/>
      <c r="J43" s="16"/>
      <c r="K43" s="11">
        <f t="shared" si="15"/>
        <v>9.3852079120134713E-3</v>
      </c>
      <c r="L43" s="11"/>
      <c r="M43" s="11"/>
      <c r="N43" s="11">
        <f t="shared" si="15"/>
        <v>1.098627944012176E-2</v>
      </c>
      <c r="O43" s="11">
        <f t="shared" si="15"/>
        <v>2.3452348167263382E-2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ht="15.6" hidden="1" x14ac:dyDescent="0.55000000000000004">
      <c r="C44" s="14"/>
      <c r="D44" s="13" t="s">
        <v>71</v>
      </c>
      <c r="E44" s="16"/>
      <c r="F44" s="16"/>
      <c r="G44" s="16"/>
      <c r="H44" s="16"/>
      <c r="I44" s="16"/>
      <c r="J44" s="16"/>
      <c r="K44" s="11">
        <f t="shared" si="15"/>
        <v>1.125813444454038E-2</v>
      </c>
      <c r="L44" s="11"/>
      <c r="M44" s="11"/>
      <c r="N44" s="11">
        <f t="shared" si="15"/>
        <v>1.3381337383675085E-2</v>
      </c>
      <c r="O44" s="11">
        <f t="shared" si="15"/>
        <v>2.2649903687267825E-2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15.6" hidden="1" x14ac:dyDescent="0.55000000000000004">
      <c r="C45" s="14"/>
      <c r="D45" s="13" t="s">
        <v>72</v>
      </c>
      <c r="E45" s="16"/>
      <c r="F45" s="16"/>
      <c r="G45" s="16"/>
      <c r="H45" s="16"/>
      <c r="I45" s="16"/>
      <c r="J45" s="16"/>
      <c r="K45" s="11">
        <f t="shared" si="15"/>
        <v>1.6159791579687055E-2</v>
      </c>
      <c r="L45" s="11"/>
      <c r="M45" s="11"/>
      <c r="N45" s="11">
        <f t="shared" si="15"/>
        <v>1.6935521599361958E-2</v>
      </c>
      <c r="O45" s="11">
        <f t="shared" si="15"/>
        <v>2.3035158815467471E-2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15.6" hidden="1" x14ac:dyDescent="0.55000000000000004">
      <c r="C46" s="14"/>
      <c r="D46" s="13" t="s">
        <v>73</v>
      </c>
      <c r="E46" s="16"/>
      <c r="F46" s="16"/>
      <c r="G46" s="16"/>
      <c r="H46" s="16"/>
      <c r="I46" s="16"/>
      <c r="J46" s="16"/>
      <c r="K46" s="11">
        <f t="shared" si="15"/>
        <v>2.1732167819793702E-2</v>
      </c>
      <c r="L46" s="11"/>
      <c r="M46" s="11"/>
      <c r="N46" s="11">
        <f t="shared" si="15"/>
        <v>2.1684946236559144E-2</v>
      </c>
      <c r="O46" s="11">
        <f t="shared" si="15"/>
        <v>2.6814789803230155E-2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15.6" hidden="1" x14ac:dyDescent="0.55000000000000004">
      <c r="C47" s="14"/>
      <c r="D47" s="13" t="s">
        <v>74</v>
      </c>
      <c r="E47" s="16"/>
      <c r="F47" s="16"/>
      <c r="G47" s="16"/>
      <c r="H47" s="16"/>
      <c r="I47" s="16"/>
      <c r="J47" s="16"/>
      <c r="K47" s="11"/>
      <c r="L47" s="11"/>
      <c r="M47" s="11"/>
      <c r="N47" s="11"/>
      <c r="O47" s="11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15.6" hidden="1" x14ac:dyDescent="0.55000000000000004">
      <c r="D48" s="9" t="s">
        <v>62</v>
      </c>
      <c r="E48" s="16"/>
      <c r="F48" s="16"/>
      <c r="G48" s="16"/>
      <c r="H48" s="16"/>
      <c r="I48" s="16"/>
      <c r="J48" s="16"/>
      <c r="K48" s="11"/>
      <c r="L48" s="11"/>
      <c r="M48" s="11"/>
      <c r="N48" s="11"/>
      <c r="O48" s="11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x14ac:dyDescent="0.55000000000000004">
      <c r="K49" s="15"/>
      <c r="L49" s="15"/>
      <c r="M49" s="15"/>
      <c r="N49" s="15"/>
      <c r="O49" s="15"/>
    </row>
    <row r="50" spans="1:30" ht="15.6" x14ac:dyDescent="0.55000000000000004">
      <c r="A50" s="9" t="s">
        <v>77</v>
      </c>
      <c r="C50" s="15"/>
      <c r="D50" s="13" t="s">
        <v>64</v>
      </c>
      <c r="E50" s="17"/>
      <c r="F50" s="17"/>
      <c r="G50" s="17"/>
      <c r="H50" s="17"/>
      <c r="I50" s="17"/>
      <c r="J50" s="17">
        <f>J9/J24</f>
        <v>1.0684863480250807E-2</v>
      </c>
      <c r="K50" s="17">
        <f t="shared" ref="K50:AD50" si="16">K9/K24</f>
        <v>1.3691179050234327E-2</v>
      </c>
      <c r="L50" s="17"/>
      <c r="M50" s="17">
        <f t="shared" si="16"/>
        <v>2.5370201078850515E-2</v>
      </c>
      <c r="N50" s="17">
        <f t="shared" si="16"/>
        <v>3.1419683442891685E-2</v>
      </c>
      <c r="O50" s="17">
        <f t="shared" si="16"/>
        <v>0.10587934088279986</v>
      </c>
      <c r="P50" s="17">
        <f t="shared" si="16"/>
        <v>0.18533543065394756</v>
      </c>
      <c r="Q50" s="17">
        <f t="shared" si="16"/>
        <v>0.25145180023228808</v>
      </c>
      <c r="R50" s="17">
        <f t="shared" si="16"/>
        <v>0.29668152550767707</v>
      </c>
      <c r="S50" s="17">
        <f t="shared" si="16"/>
        <v>0.28260869565217389</v>
      </c>
      <c r="T50" s="17">
        <f t="shared" si="16"/>
        <v>0.34782608695652173</v>
      </c>
      <c r="U50" s="17">
        <f t="shared" si="16"/>
        <v>0.40217391304347822</v>
      </c>
      <c r="V50" s="17">
        <f t="shared" si="16"/>
        <v>0.47826086956521729</v>
      </c>
      <c r="W50" s="17">
        <f t="shared" si="16"/>
        <v>0.57954545454545459</v>
      </c>
      <c r="X50" s="17">
        <f t="shared" si="16"/>
        <v>0.72619047619047616</v>
      </c>
      <c r="Y50" s="17">
        <f t="shared" si="16"/>
        <v>0.87499999999999989</v>
      </c>
      <c r="Z50" s="17">
        <f t="shared" si="16"/>
        <v>0.91666666666666663</v>
      </c>
      <c r="AA50" s="17">
        <f t="shared" si="16"/>
        <v>0.93023255813953498</v>
      </c>
      <c r="AB50" s="17">
        <f t="shared" si="16"/>
        <v>0.95402298850574718</v>
      </c>
      <c r="AC50" s="17">
        <f t="shared" si="16"/>
        <v>0.9767441860465117</v>
      </c>
      <c r="AD50" s="17">
        <f t="shared" si="16"/>
        <v>1</v>
      </c>
    </row>
    <row r="51" spans="1:30" ht="15.6" x14ac:dyDescent="0.55000000000000004">
      <c r="C51" s="15"/>
      <c r="D51" s="13" t="s">
        <v>65</v>
      </c>
      <c r="E51" s="17"/>
      <c r="F51" s="17"/>
      <c r="G51" s="17"/>
      <c r="H51" s="17"/>
      <c r="I51" s="17"/>
      <c r="J51" s="17">
        <f t="shared" ref="J51:AD61" si="17">J10/J25</f>
        <v>5.8450474944921702E-3</v>
      </c>
      <c r="K51" s="17">
        <f t="shared" si="17"/>
        <v>1.0665689050270813E-2</v>
      </c>
      <c r="L51" s="17"/>
      <c r="M51" s="17">
        <f t="shared" si="17"/>
        <v>1.863683291123867E-2</v>
      </c>
      <c r="N51" s="17">
        <f t="shared" si="17"/>
        <v>2.5415892947176857E-2</v>
      </c>
      <c r="O51" s="17">
        <f t="shared" si="17"/>
        <v>3.1566090351948357E-2</v>
      </c>
      <c r="P51" s="17">
        <f t="shared" si="17"/>
        <v>0.10587934088279988</v>
      </c>
      <c r="Q51" s="17">
        <f t="shared" si="17"/>
        <v>0.18533543065394756</v>
      </c>
      <c r="R51" s="17">
        <f t="shared" si="17"/>
        <v>0.25145180023228808</v>
      </c>
      <c r="S51" s="17">
        <f t="shared" si="17"/>
        <v>0.29668152550767707</v>
      </c>
      <c r="T51" s="17">
        <f t="shared" si="17"/>
        <v>0.28260869565217389</v>
      </c>
      <c r="U51" s="17">
        <f t="shared" si="17"/>
        <v>0.34782608695652173</v>
      </c>
      <c r="V51" s="17">
        <f t="shared" si="17"/>
        <v>0.40217391304347827</v>
      </c>
      <c r="W51" s="17">
        <f t="shared" si="17"/>
        <v>0.47826086956521735</v>
      </c>
      <c r="X51" s="17">
        <f t="shared" si="17"/>
        <v>0.57954545454545447</v>
      </c>
      <c r="Y51" s="17">
        <f t="shared" si="17"/>
        <v>0.72619047619047616</v>
      </c>
      <c r="Z51" s="17">
        <f t="shared" si="17"/>
        <v>0.875</v>
      </c>
      <c r="AA51" s="17">
        <f t="shared" si="17"/>
        <v>0.91666666666666674</v>
      </c>
      <c r="AB51" s="17">
        <f t="shared" si="17"/>
        <v>0.93023255813953509</v>
      </c>
      <c r="AC51" s="17">
        <f t="shared" si="17"/>
        <v>0.95402298850574718</v>
      </c>
      <c r="AD51" s="17">
        <f t="shared" si="17"/>
        <v>0.9767441860465117</v>
      </c>
    </row>
    <row r="52" spans="1:30" ht="15.6" x14ac:dyDescent="0.55000000000000004">
      <c r="C52" s="15"/>
      <c r="D52" s="13" t="s">
        <v>66</v>
      </c>
      <c r="E52" s="17"/>
      <c r="F52" s="17"/>
      <c r="G52" s="17"/>
      <c r="H52" s="17"/>
      <c r="I52" s="17"/>
      <c r="J52" s="17">
        <f t="shared" si="17"/>
        <v>1.5783168387957054E-3</v>
      </c>
      <c r="K52" s="17">
        <f t="shared" si="17"/>
        <v>5.8340714811673045E-3</v>
      </c>
      <c r="L52" s="17"/>
      <c r="M52" s="17">
        <f t="shared" si="17"/>
        <v>1.3695723545264514E-2</v>
      </c>
      <c r="N52" s="17">
        <f t="shared" si="17"/>
        <v>1.8671961671791665E-2</v>
      </c>
      <c r="O52" s="17">
        <f t="shared" si="17"/>
        <v>2.5710872800425146E-2</v>
      </c>
      <c r="P52" s="17">
        <f t="shared" si="17"/>
        <v>3.1566090351948357E-2</v>
      </c>
      <c r="Q52" s="17">
        <f t="shared" si="17"/>
        <v>0.10587934088279986</v>
      </c>
      <c r="R52" s="17">
        <f t="shared" si="17"/>
        <v>0.18533543065394756</v>
      </c>
      <c r="S52" s="17">
        <f t="shared" si="17"/>
        <v>0.25145180023228803</v>
      </c>
      <c r="T52" s="17">
        <f t="shared" si="17"/>
        <v>0.29668152550767707</v>
      </c>
      <c r="U52" s="17">
        <f t="shared" si="17"/>
        <v>0.28260869565217389</v>
      </c>
      <c r="V52" s="17">
        <f t="shared" si="17"/>
        <v>0.34782608695652173</v>
      </c>
      <c r="W52" s="17">
        <f t="shared" si="17"/>
        <v>0.40217391304347827</v>
      </c>
      <c r="X52" s="17">
        <f t="shared" si="17"/>
        <v>0.47826086956521735</v>
      </c>
      <c r="Y52" s="17">
        <f t="shared" si="17"/>
        <v>0.57954545454545447</v>
      </c>
      <c r="Z52" s="17">
        <f t="shared" si="17"/>
        <v>0.72619047619047616</v>
      </c>
      <c r="AA52" s="17">
        <f t="shared" si="17"/>
        <v>0.87499999999999989</v>
      </c>
      <c r="AB52" s="17">
        <f t="shared" si="17"/>
        <v>0.91666666666666674</v>
      </c>
      <c r="AC52" s="17">
        <f t="shared" si="17"/>
        <v>0.9302325581395352</v>
      </c>
      <c r="AD52" s="17">
        <f t="shared" si="17"/>
        <v>0.95402298850574707</v>
      </c>
    </row>
    <row r="53" spans="1:30" ht="15.6" x14ac:dyDescent="0.55000000000000004">
      <c r="C53" s="15"/>
      <c r="D53" s="13" t="s">
        <v>67</v>
      </c>
      <c r="E53" s="17"/>
      <c r="F53" s="17"/>
      <c r="G53" s="17"/>
      <c r="H53" s="17"/>
      <c r="I53" s="17"/>
      <c r="J53" s="17">
        <f t="shared" si="17"/>
        <v>1.1026377668131831E-3</v>
      </c>
      <c r="K53" s="17">
        <f t="shared" si="17"/>
        <v>1.5746965005043398E-3</v>
      </c>
      <c r="L53" s="17"/>
      <c r="M53" s="17">
        <f t="shared" si="17"/>
        <v>1.0680403122757224E-2</v>
      </c>
      <c r="N53" s="17">
        <f t="shared" si="17"/>
        <v>1.3727283538071632E-2</v>
      </c>
      <c r="O53" s="17">
        <f t="shared" si="17"/>
        <v>1.9341148150740201E-2</v>
      </c>
      <c r="P53" s="17">
        <f t="shared" si="17"/>
        <v>2.5710872800425146E-2</v>
      </c>
      <c r="Q53" s="17">
        <f t="shared" si="17"/>
        <v>3.1566090351948357E-2</v>
      </c>
      <c r="R53" s="17">
        <f t="shared" si="17"/>
        <v>0.10587934088279986</v>
      </c>
      <c r="S53" s="17">
        <f t="shared" si="17"/>
        <v>0.18533543065394756</v>
      </c>
      <c r="T53" s="17">
        <f t="shared" si="17"/>
        <v>0.25145180023228803</v>
      </c>
      <c r="U53" s="17">
        <f t="shared" si="17"/>
        <v>0.29668152550767712</v>
      </c>
      <c r="V53" s="17">
        <f t="shared" si="17"/>
        <v>0.28260869565217384</v>
      </c>
      <c r="W53" s="17">
        <f t="shared" si="17"/>
        <v>0.34782608695652173</v>
      </c>
      <c r="X53" s="17">
        <f t="shared" si="17"/>
        <v>0.40217391304347822</v>
      </c>
      <c r="Y53" s="17">
        <f t="shared" si="17"/>
        <v>0.47826086956521729</v>
      </c>
      <c r="Z53" s="17">
        <f t="shared" si="17"/>
        <v>0.57954545454545447</v>
      </c>
      <c r="AA53" s="17">
        <f t="shared" si="17"/>
        <v>0.72619047619047616</v>
      </c>
      <c r="AB53" s="17">
        <f t="shared" si="17"/>
        <v>0.87499999999999989</v>
      </c>
      <c r="AC53" s="17">
        <f t="shared" si="17"/>
        <v>0.91666666666666674</v>
      </c>
      <c r="AD53" s="17">
        <f t="shared" si="17"/>
        <v>0.93023255813953509</v>
      </c>
    </row>
    <row r="54" spans="1:30" ht="15.6" x14ac:dyDescent="0.55000000000000004">
      <c r="C54" s="15"/>
      <c r="D54" s="13" t="s">
        <v>68</v>
      </c>
      <c r="E54" s="17"/>
      <c r="F54" s="17"/>
      <c r="G54" s="17"/>
      <c r="H54" s="17"/>
      <c r="I54" s="17"/>
      <c r="J54" s="17">
        <f t="shared" si="17"/>
        <v>1.1017883244964347E-3</v>
      </c>
      <c r="K54" s="17">
        <f t="shared" si="17"/>
        <v>1.1003320069566192E-3</v>
      </c>
      <c r="L54" s="17"/>
      <c r="M54" s="17">
        <f t="shared" si="17"/>
        <v>5.8507112873012858E-3</v>
      </c>
      <c r="N54" s="17">
        <f t="shared" si="17"/>
        <v>1.0702831042706692E-2</v>
      </c>
      <c r="O54" s="17">
        <f t="shared" si="17"/>
        <v>1.3932619855324221E-2</v>
      </c>
      <c r="P54" s="17">
        <f t="shared" si="17"/>
        <v>1.9341148150740201E-2</v>
      </c>
      <c r="Q54" s="17">
        <f t="shared" si="17"/>
        <v>2.5710872800425146E-2</v>
      </c>
      <c r="R54" s="17">
        <f t="shared" si="17"/>
        <v>3.1566090351948357E-2</v>
      </c>
      <c r="S54" s="17">
        <f t="shared" si="17"/>
        <v>0.10587934088279986</v>
      </c>
      <c r="T54" s="17">
        <f t="shared" si="17"/>
        <v>0.18533543065394756</v>
      </c>
      <c r="U54" s="17">
        <f t="shared" si="17"/>
        <v>0.25145180023228803</v>
      </c>
      <c r="V54" s="17">
        <f t="shared" si="17"/>
        <v>0.29668152550767712</v>
      </c>
      <c r="W54" s="17">
        <f t="shared" si="17"/>
        <v>0.28260869565217384</v>
      </c>
      <c r="X54" s="17">
        <f t="shared" si="17"/>
        <v>0.34782608695652173</v>
      </c>
      <c r="Y54" s="17">
        <f t="shared" si="17"/>
        <v>0.40217391304347816</v>
      </c>
      <c r="Z54" s="17">
        <f t="shared" si="17"/>
        <v>0.47826086956521724</v>
      </c>
      <c r="AA54" s="17">
        <f t="shared" si="17"/>
        <v>0.57954545454545459</v>
      </c>
      <c r="AB54" s="17">
        <f t="shared" si="17"/>
        <v>0.72619047619047616</v>
      </c>
      <c r="AC54" s="17">
        <f t="shared" si="17"/>
        <v>0.87499999999999989</v>
      </c>
      <c r="AD54" s="17">
        <f t="shared" si="17"/>
        <v>0.91666666666666674</v>
      </c>
    </row>
    <row r="55" spans="1:30" ht="15.6" x14ac:dyDescent="0.55000000000000004">
      <c r="C55" s="15"/>
      <c r="D55" s="13" t="s">
        <v>69</v>
      </c>
      <c r="E55" s="17"/>
      <c r="F55" s="17"/>
      <c r="G55" s="17"/>
      <c r="H55" s="17"/>
      <c r="I55" s="17"/>
      <c r="J55" s="17">
        <f t="shared" si="17"/>
        <v>1.2208004295956334E-4</v>
      </c>
      <c r="K55" s="17">
        <f t="shared" si="17"/>
        <v>1.1010480962320762E-3</v>
      </c>
      <c r="L55" s="17"/>
      <c r="M55" s="17">
        <f t="shared" si="17"/>
        <v>1.5771264053036217E-3</v>
      </c>
      <c r="N55" s="17">
        <f t="shared" si="17"/>
        <v>5.854647332827762E-3</v>
      </c>
      <c r="O55" s="17">
        <f t="shared" si="17"/>
        <v>1.0828310850043496E-2</v>
      </c>
      <c r="P55" s="17">
        <f t="shared" si="17"/>
        <v>1.3932619855324221E-2</v>
      </c>
      <c r="Q55" s="17">
        <f t="shared" si="17"/>
        <v>1.9341148150740201E-2</v>
      </c>
      <c r="R55" s="17">
        <f t="shared" si="17"/>
        <v>2.5710872800425142E-2</v>
      </c>
      <c r="S55" s="17">
        <f t="shared" si="17"/>
        <v>3.156609035194835E-2</v>
      </c>
      <c r="T55" s="17">
        <f t="shared" si="17"/>
        <v>0.10587934088279985</v>
      </c>
      <c r="U55" s="17">
        <f t="shared" si="17"/>
        <v>0.18533543065394756</v>
      </c>
      <c r="V55" s="17">
        <f t="shared" si="17"/>
        <v>0.25145180023228803</v>
      </c>
      <c r="W55" s="17">
        <f t="shared" si="17"/>
        <v>0.29668152550767712</v>
      </c>
      <c r="X55" s="17">
        <f t="shared" si="17"/>
        <v>0.28260869565217384</v>
      </c>
      <c r="Y55" s="17">
        <f t="shared" si="17"/>
        <v>0.34782608695652173</v>
      </c>
      <c r="Z55" s="17">
        <f t="shared" si="17"/>
        <v>0.40217391304347816</v>
      </c>
      <c r="AA55" s="17">
        <f t="shared" si="17"/>
        <v>0.47826086956521724</v>
      </c>
      <c r="AB55" s="17">
        <f t="shared" si="17"/>
        <v>0.57954545454545459</v>
      </c>
      <c r="AC55" s="17">
        <f t="shared" si="17"/>
        <v>0.72619047619047616</v>
      </c>
      <c r="AD55" s="17">
        <f t="shared" si="17"/>
        <v>0.87499999999999978</v>
      </c>
    </row>
    <row r="56" spans="1:30" ht="15.6" x14ac:dyDescent="0.55000000000000004">
      <c r="C56" s="15"/>
      <c r="D56" s="13" t="s">
        <v>70</v>
      </c>
      <c r="E56" s="17"/>
      <c r="F56" s="17"/>
      <c r="G56" s="17"/>
      <c r="H56" s="17"/>
      <c r="I56" s="17"/>
      <c r="J56" s="17">
        <f t="shared" si="17"/>
        <v>0</v>
      </c>
      <c r="K56" s="17">
        <f t="shared" si="17"/>
        <v>1.2198138761820667E-4</v>
      </c>
      <c r="L56" s="17"/>
      <c r="M56" s="17">
        <f t="shared" si="17"/>
        <v>1.1026963939386976E-3</v>
      </c>
      <c r="N56" s="17">
        <f t="shared" si="17"/>
        <v>1.578402976159651E-3</v>
      </c>
      <c r="O56" s="17">
        <f t="shared" si="17"/>
        <v>5.9341839437184749E-3</v>
      </c>
      <c r="P56" s="17">
        <f t="shared" si="17"/>
        <v>1.0828310850043498E-2</v>
      </c>
      <c r="Q56" s="17">
        <f t="shared" si="17"/>
        <v>1.393261985532422E-2</v>
      </c>
      <c r="R56" s="17">
        <f t="shared" si="17"/>
        <v>1.9341148150740197E-2</v>
      </c>
      <c r="S56" s="17">
        <f t="shared" si="17"/>
        <v>2.5710872800425146E-2</v>
      </c>
      <c r="T56" s="17">
        <f t="shared" si="17"/>
        <v>3.156609035194835E-2</v>
      </c>
      <c r="U56" s="17">
        <f t="shared" si="17"/>
        <v>0.10587934088279985</v>
      </c>
      <c r="V56" s="17">
        <f t="shared" si="17"/>
        <v>0.18533543065394756</v>
      </c>
      <c r="W56" s="17">
        <f t="shared" si="17"/>
        <v>0.25145180023228803</v>
      </c>
      <c r="X56" s="17">
        <f t="shared" si="17"/>
        <v>0.29668152550767712</v>
      </c>
      <c r="Y56" s="17">
        <f t="shared" si="17"/>
        <v>0.28260869565217378</v>
      </c>
      <c r="Z56" s="17">
        <f t="shared" si="17"/>
        <v>0.34782608695652173</v>
      </c>
      <c r="AA56" s="17">
        <f t="shared" si="17"/>
        <v>0.40217391304347816</v>
      </c>
      <c r="AB56" s="17">
        <f t="shared" si="17"/>
        <v>0.47826086956521724</v>
      </c>
      <c r="AC56" s="17">
        <f t="shared" si="17"/>
        <v>0.57954545454545459</v>
      </c>
      <c r="AD56" s="17">
        <f t="shared" si="17"/>
        <v>0.72619047619047616</v>
      </c>
    </row>
    <row r="57" spans="1:30" ht="15.6" x14ac:dyDescent="0.55000000000000004">
      <c r="C57" s="15"/>
      <c r="D57" s="13" t="s">
        <v>71</v>
      </c>
      <c r="E57" s="17"/>
      <c r="F57" s="17"/>
      <c r="G57" s="17"/>
      <c r="H57" s="17"/>
      <c r="I57" s="17"/>
      <c r="J57" s="17">
        <f t="shared" si="17"/>
        <v>0</v>
      </c>
      <c r="K57" s="17">
        <f t="shared" si="17"/>
        <v>0</v>
      </c>
      <c r="L57" s="17"/>
      <c r="M57" s="17">
        <f t="shared" si="17"/>
        <v>1.1045908039992124E-3</v>
      </c>
      <c r="N57" s="17">
        <f t="shared" si="17"/>
        <v>1.103882895022295E-3</v>
      </c>
      <c r="O57" s="17">
        <f t="shared" si="17"/>
        <v>1.5950860128922397E-3</v>
      </c>
      <c r="P57" s="17">
        <f t="shared" si="17"/>
        <v>5.9341839437184749E-3</v>
      </c>
      <c r="Q57" s="17">
        <f t="shared" si="17"/>
        <v>1.0828310850043498E-2</v>
      </c>
      <c r="R57" s="17">
        <f t="shared" si="17"/>
        <v>1.393261985532422E-2</v>
      </c>
      <c r="S57" s="17">
        <f t="shared" si="17"/>
        <v>1.9341148150740201E-2</v>
      </c>
      <c r="T57" s="17">
        <f t="shared" si="17"/>
        <v>2.5710872800425149E-2</v>
      </c>
      <c r="U57" s="17">
        <f t="shared" si="17"/>
        <v>3.156609035194835E-2</v>
      </c>
      <c r="V57" s="17">
        <f t="shared" si="17"/>
        <v>0.10587934088279985</v>
      </c>
      <c r="W57" s="17">
        <f t="shared" si="17"/>
        <v>0.18533543065394753</v>
      </c>
      <c r="X57" s="17">
        <f t="shared" si="17"/>
        <v>0.25145180023228797</v>
      </c>
      <c r="Y57" s="17">
        <f t="shared" si="17"/>
        <v>0.29668152550767712</v>
      </c>
      <c r="Z57" s="17">
        <f t="shared" si="17"/>
        <v>0.28260869565217384</v>
      </c>
      <c r="AA57" s="17">
        <f t="shared" si="17"/>
        <v>0.34782608695652173</v>
      </c>
      <c r="AB57" s="17">
        <f t="shared" si="17"/>
        <v>0.40217391304347822</v>
      </c>
      <c r="AC57" s="17">
        <f t="shared" si="17"/>
        <v>0.47826086956521729</v>
      </c>
      <c r="AD57" s="17">
        <f t="shared" si="17"/>
        <v>0.5795454545454547</v>
      </c>
    </row>
    <row r="58" spans="1:30" ht="15.6" x14ac:dyDescent="0.55000000000000004">
      <c r="C58" s="15"/>
      <c r="D58" s="13" t="s">
        <v>72</v>
      </c>
      <c r="E58" s="17"/>
      <c r="F58" s="17"/>
      <c r="G58" s="17"/>
      <c r="H58" s="17"/>
      <c r="I58" s="17"/>
      <c r="J58" s="17">
        <f t="shared" si="17"/>
        <v>0</v>
      </c>
      <c r="K58" s="17">
        <f t="shared" si="17"/>
        <v>0</v>
      </c>
      <c r="L58" s="17"/>
      <c r="M58" s="17">
        <f t="shared" si="17"/>
        <v>1.2213010327150539E-4</v>
      </c>
      <c r="N58" s="17">
        <f t="shared" si="17"/>
        <v>1.1050266168400513E-3</v>
      </c>
      <c r="O58" s="17">
        <f t="shared" si="17"/>
        <v>1.1112131923234289E-3</v>
      </c>
      <c r="P58" s="17">
        <f t="shared" si="17"/>
        <v>1.5950860128922397E-3</v>
      </c>
      <c r="Q58" s="17">
        <f t="shared" si="17"/>
        <v>5.9341839437184749E-3</v>
      </c>
      <c r="R58" s="17">
        <f t="shared" si="17"/>
        <v>1.0828310850043498E-2</v>
      </c>
      <c r="S58" s="17">
        <f t="shared" si="17"/>
        <v>1.3932619855324218E-2</v>
      </c>
      <c r="T58" s="17">
        <f t="shared" si="17"/>
        <v>1.9341148150740197E-2</v>
      </c>
      <c r="U58" s="17">
        <f t="shared" si="17"/>
        <v>2.5710872800425149E-2</v>
      </c>
      <c r="V58" s="17">
        <f t="shared" si="17"/>
        <v>3.1566090351948357E-2</v>
      </c>
      <c r="W58" s="17">
        <f t="shared" si="17"/>
        <v>0.10587934088279985</v>
      </c>
      <c r="X58" s="17">
        <f t="shared" si="17"/>
        <v>0.1853354306539475</v>
      </c>
      <c r="Y58" s="17">
        <f t="shared" si="17"/>
        <v>0.25145180023228803</v>
      </c>
      <c r="Z58" s="17">
        <f t="shared" si="17"/>
        <v>0.29668152550767712</v>
      </c>
      <c r="AA58" s="17">
        <f t="shared" si="17"/>
        <v>0.28260869565217378</v>
      </c>
      <c r="AB58" s="17">
        <f t="shared" si="17"/>
        <v>0.34782608695652173</v>
      </c>
      <c r="AC58" s="17">
        <f t="shared" si="17"/>
        <v>0.40217391304347816</v>
      </c>
      <c r="AD58" s="17">
        <f t="shared" si="17"/>
        <v>0.47826086956521724</v>
      </c>
    </row>
    <row r="59" spans="1:30" ht="15.6" x14ac:dyDescent="0.55000000000000004">
      <c r="C59" s="15"/>
      <c r="D59" s="13" t="s">
        <v>73</v>
      </c>
      <c r="E59" s="17"/>
      <c r="F59" s="17"/>
      <c r="G59" s="17"/>
      <c r="H59" s="17"/>
      <c r="I59" s="17"/>
      <c r="J59" s="17">
        <f t="shared" si="17"/>
        <v>0</v>
      </c>
      <c r="K59" s="17">
        <f t="shared" si="17"/>
        <v>0</v>
      </c>
      <c r="L59" s="17"/>
      <c r="M59" s="17">
        <f t="shared" si="17"/>
        <v>0</v>
      </c>
      <c r="N59" s="17">
        <f t="shared" si="17"/>
        <v>1.2212715576660147E-4</v>
      </c>
      <c r="O59" s="17">
        <f t="shared" si="17"/>
        <v>1.1108246119894787E-3</v>
      </c>
      <c r="P59" s="17">
        <f t="shared" si="17"/>
        <v>1.1112131923234287E-3</v>
      </c>
      <c r="Q59" s="17">
        <f t="shared" si="17"/>
        <v>1.5950860128922397E-3</v>
      </c>
      <c r="R59" s="17">
        <f t="shared" si="17"/>
        <v>5.9341839437184749E-3</v>
      </c>
      <c r="S59" s="17">
        <f t="shared" si="17"/>
        <v>1.0828310850043496E-2</v>
      </c>
      <c r="T59" s="17">
        <f t="shared" si="17"/>
        <v>1.3932619855324218E-2</v>
      </c>
      <c r="U59" s="17">
        <f t="shared" si="17"/>
        <v>1.9341148150740197E-2</v>
      </c>
      <c r="V59" s="17">
        <f t="shared" si="17"/>
        <v>2.5710872800425149E-2</v>
      </c>
      <c r="W59" s="17">
        <f t="shared" si="17"/>
        <v>3.1566090351948357E-2</v>
      </c>
      <c r="X59" s="17">
        <f t="shared" si="17"/>
        <v>0.10587934088279984</v>
      </c>
      <c r="Y59" s="17">
        <f t="shared" si="17"/>
        <v>0.1853354306539475</v>
      </c>
      <c r="Z59" s="17">
        <f t="shared" si="17"/>
        <v>0.25145180023228803</v>
      </c>
      <c r="AA59" s="17">
        <f t="shared" si="17"/>
        <v>0.29668152550767712</v>
      </c>
      <c r="AB59" s="17">
        <f t="shared" si="17"/>
        <v>0.28260869565217378</v>
      </c>
      <c r="AC59" s="17">
        <f t="shared" si="17"/>
        <v>0.34782608695652167</v>
      </c>
      <c r="AD59" s="17">
        <f t="shared" si="17"/>
        <v>0.40217391304347816</v>
      </c>
    </row>
    <row r="60" spans="1:30" ht="15.6" x14ac:dyDescent="0.55000000000000004">
      <c r="C60" s="15"/>
      <c r="D60" s="13" t="s">
        <v>74</v>
      </c>
      <c r="E60" s="17"/>
      <c r="F60" s="17"/>
      <c r="G60" s="17"/>
      <c r="H60" s="17"/>
      <c r="I60" s="17"/>
      <c r="J60" s="17">
        <f t="shared" si="17"/>
        <v>0</v>
      </c>
      <c r="K60" s="17">
        <f t="shared" si="17"/>
        <v>0</v>
      </c>
      <c r="L60" s="17"/>
      <c r="M60" s="17">
        <f t="shared" si="17"/>
        <v>0</v>
      </c>
      <c r="N60" s="17">
        <f t="shared" si="17"/>
        <v>0</v>
      </c>
      <c r="O60" s="17">
        <f t="shared" si="17"/>
        <v>1.4580478826344078E-5</v>
      </c>
      <c r="P60" s="17">
        <f t="shared" si="17"/>
        <v>1.1108246119894789E-3</v>
      </c>
      <c r="Q60" s="17">
        <f t="shared" si="17"/>
        <v>1.1112131923234287E-3</v>
      </c>
      <c r="R60" s="17">
        <f t="shared" si="17"/>
        <v>1.5950860128922395E-3</v>
      </c>
      <c r="S60" s="17">
        <f t="shared" si="17"/>
        <v>5.9341839437184758E-3</v>
      </c>
      <c r="T60" s="17">
        <f t="shared" si="17"/>
        <v>1.0828310850043496E-2</v>
      </c>
      <c r="U60" s="17">
        <f t="shared" si="17"/>
        <v>1.3932619855324216E-2</v>
      </c>
      <c r="V60" s="17">
        <f t="shared" si="17"/>
        <v>1.9341148150740197E-2</v>
      </c>
      <c r="W60" s="17">
        <f t="shared" si="17"/>
        <v>2.5710872800425146E-2</v>
      </c>
      <c r="X60" s="17">
        <f t="shared" si="17"/>
        <v>3.1566090351948357E-2</v>
      </c>
      <c r="Y60" s="17">
        <f t="shared" si="17"/>
        <v>0.10587934088279982</v>
      </c>
      <c r="Z60" s="17">
        <f t="shared" si="17"/>
        <v>0.18533543065394747</v>
      </c>
      <c r="AA60" s="17">
        <f t="shared" si="17"/>
        <v>0.25145180023228803</v>
      </c>
      <c r="AB60" s="17">
        <f t="shared" si="17"/>
        <v>0.29668152550767712</v>
      </c>
      <c r="AC60" s="17">
        <f t="shared" si="17"/>
        <v>0.28260869565217378</v>
      </c>
      <c r="AD60" s="17">
        <f t="shared" si="17"/>
        <v>0.34782608695652167</v>
      </c>
    </row>
    <row r="61" spans="1:30" ht="15.6" x14ac:dyDescent="0.55000000000000004">
      <c r="D61" s="9" t="s">
        <v>62</v>
      </c>
      <c r="E61" s="17">
        <f t="shared" ref="E61" si="18">SUM(E50:E60)</f>
        <v>0</v>
      </c>
      <c r="F61" s="17">
        <f t="shared" ref="F61:I61" si="19">SUM(F50:F60)</f>
        <v>0</v>
      </c>
      <c r="G61" s="17">
        <f t="shared" si="19"/>
        <v>0</v>
      </c>
      <c r="H61" s="17">
        <f t="shared" si="19"/>
        <v>0</v>
      </c>
      <c r="I61" s="17">
        <f t="shared" si="19"/>
        <v>0</v>
      </c>
      <c r="J61" s="17">
        <f t="shared" si="17"/>
        <v>1.5022410616134948E-3</v>
      </c>
      <c r="K61" s="17">
        <f t="shared" si="17"/>
        <v>2.52355315621264E-3</v>
      </c>
      <c r="L61" s="17"/>
      <c r="M61" s="17">
        <f t="shared" si="17"/>
        <v>5.4920941209022616E-3</v>
      </c>
      <c r="N61" s="17">
        <f t="shared" si="17"/>
        <v>7.4540668464340414E-3</v>
      </c>
      <c r="O61" s="17">
        <f t="shared" si="17"/>
        <v>1.1909582425132579E-2</v>
      </c>
      <c r="P61" s="17">
        <f t="shared" si="17"/>
        <v>3.2037197794273303E-2</v>
      </c>
      <c r="Q61" s="17">
        <f t="shared" si="17"/>
        <v>5.1040165329001221E-2</v>
      </c>
      <c r="R61" s="17">
        <f t="shared" si="17"/>
        <v>7.6949924034444867E-2</v>
      </c>
      <c r="S61" s="17">
        <f t="shared" si="17"/>
        <v>0.10448618121901317</v>
      </c>
      <c r="T61" s="17">
        <f t="shared" si="17"/>
        <v>0.1388037336941787</v>
      </c>
      <c r="U61" s="17">
        <f t="shared" si="17"/>
        <v>0.17921781500552314</v>
      </c>
      <c r="V61" s="17">
        <f t="shared" si="17"/>
        <v>0.22804955515268316</v>
      </c>
      <c r="W61" s="17">
        <f t="shared" si="17"/>
        <v>0.2841521525674166</v>
      </c>
      <c r="X61" s="17">
        <f t="shared" si="17"/>
        <v>0.35155048276549433</v>
      </c>
      <c r="Y61" s="17">
        <f t="shared" si="17"/>
        <v>0.43064455897527404</v>
      </c>
      <c r="Z61" s="17">
        <f t="shared" si="17"/>
        <v>0.49934250373535288</v>
      </c>
      <c r="AA61" s="17">
        <f t="shared" si="17"/>
        <v>0.56176107772658956</v>
      </c>
      <c r="AB61" s="17">
        <f t="shared" si="17"/>
        <v>0.62063312658451131</v>
      </c>
      <c r="AC61" s="17">
        <f t="shared" si="17"/>
        <v>0.68001197420646808</v>
      </c>
      <c r="AD61" s="17">
        <f t="shared" si="17"/>
        <v>0.74623922256104747</v>
      </c>
    </row>
    <row r="64" spans="1:30" x14ac:dyDescent="0.55000000000000004">
      <c r="P64" s="9">
        <v>2023</v>
      </c>
      <c r="S64" s="9">
        <v>2024</v>
      </c>
      <c r="V64" s="9">
        <v>2025</v>
      </c>
    </row>
    <row r="66" spans="15:23" x14ac:dyDescent="0.55000000000000004">
      <c r="P66" s="9" t="s">
        <v>78</v>
      </c>
      <c r="Q66" s="9" t="s">
        <v>79</v>
      </c>
      <c r="S66" s="9" t="s">
        <v>78</v>
      </c>
      <c r="T66" s="9" t="s">
        <v>79</v>
      </c>
      <c r="V66" s="9" t="s">
        <v>78</v>
      </c>
      <c r="W66" s="9" t="s">
        <v>79</v>
      </c>
    </row>
    <row r="67" spans="15:23" x14ac:dyDescent="0.55000000000000004">
      <c r="O67" s="13" t="s">
        <v>80</v>
      </c>
      <c r="P67" s="18">
        <f>R50</f>
        <v>0.29668152550767707</v>
      </c>
      <c r="Q67" s="19">
        <f>R9</f>
        <v>595463.73078469292</v>
      </c>
      <c r="S67" s="18">
        <f>S50</f>
        <v>0.28260869565217389</v>
      </c>
      <c r="T67" s="19">
        <f>S9</f>
        <v>646162.64609357319</v>
      </c>
      <c r="V67" s="18">
        <f>T50</f>
        <v>0.34782608695652173</v>
      </c>
      <c r="W67" s="19">
        <f>T9</f>
        <v>795277.10288439784</v>
      </c>
    </row>
    <row r="68" spans="15:23" x14ac:dyDescent="0.55000000000000004">
      <c r="O68" s="13" t="s">
        <v>81</v>
      </c>
      <c r="P68" s="18">
        <f t="shared" ref="P68:P78" si="20">R51</f>
        <v>0.25145180023228808</v>
      </c>
      <c r="Q68" s="19">
        <f t="shared" ref="Q68:Q78" si="21">R10</f>
        <v>428682.19757975754</v>
      </c>
      <c r="S68" s="18">
        <f t="shared" ref="S68:S78" si="22">S51</f>
        <v>0.29668152550767707</v>
      </c>
      <c r="T68" s="19">
        <f t="shared" ref="T68:T78" si="23">S10</f>
        <v>593026.87378816342</v>
      </c>
      <c r="V68" s="18">
        <f t="shared" ref="V68:V78" si="24">T51</f>
        <v>0.28260869565217389</v>
      </c>
      <c r="W68" s="19">
        <f t="shared" ref="W68:W78" si="25">T10</f>
        <v>643518.31045460131</v>
      </c>
    </row>
    <row r="69" spans="15:23" x14ac:dyDescent="0.55000000000000004">
      <c r="O69" s="13" t="s">
        <v>82</v>
      </c>
      <c r="P69" s="18">
        <f t="shared" si="20"/>
        <v>0.18533543065394756</v>
      </c>
      <c r="Q69" s="19">
        <f t="shared" si="21"/>
        <v>299772.15599012055</v>
      </c>
      <c r="S69" s="18">
        <f t="shared" si="22"/>
        <v>0.25145180023228803</v>
      </c>
      <c r="T69" s="19">
        <f t="shared" si="23"/>
        <v>425186.44640092965</v>
      </c>
      <c r="V69" s="18">
        <f t="shared" si="24"/>
        <v>0.29668152550767707</v>
      </c>
      <c r="W69" s="19">
        <f t="shared" si="25"/>
        <v>588190.95010197896</v>
      </c>
    </row>
    <row r="70" spans="15:23" x14ac:dyDescent="0.55000000000000004">
      <c r="O70" s="13" t="s">
        <v>83</v>
      </c>
      <c r="P70" s="18">
        <f t="shared" si="20"/>
        <v>0.10587934088279986</v>
      </c>
      <c r="Q70" s="19">
        <f t="shared" si="21"/>
        <v>170252.06543806006</v>
      </c>
      <c r="S70" s="18">
        <f t="shared" si="22"/>
        <v>0.18533543065394756</v>
      </c>
      <c r="T70" s="19">
        <f t="shared" si="23"/>
        <v>296424.18850909616</v>
      </c>
      <c r="V70" s="18">
        <f t="shared" si="24"/>
        <v>0.25145180023228803</v>
      </c>
      <c r="W70" s="19">
        <f t="shared" si="25"/>
        <v>420437.80524971627</v>
      </c>
    </row>
    <row r="71" spans="15:23" x14ac:dyDescent="0.55000000000000004">
      <c r="O71" s="13" t="s">
        <v>84</v>
      </c>
      <c r="P71" s="18">
        <f t="shared" si="20"/>
        <v>3.1566090351948357E-2</v>
      </c>
      <c r="Q71" s="19">
        <f t="shared" si="21"/>
        <v>69590.330455304691</v>
      </c>
      <c r="S71" s="18">
        <f t="shared" si="22"/>
        <v>0.10587934088279986</v>
      </c>
      <c r="T71" s="19">
        <f t="shared" si="23"/>
        <v>168107.28193131642</v>
      </c>
      <c r="V71" s="18">
        <f t="shared" si="24"/>
        <v>0.18533543065394756</v>
      </c>
      <c r="W71" s="19">
        <f t="shared" si="25"/>
        <v>292689.92714270187</v>
      </c>
    </row>
    <row r="72" spans="15:23" x14ac:dyDescent="0.55000000000000004">
      <c r="O72" s="13" t="s">
        <v>85</v>
      </c>
      <c r="P72" s="18">
        <f t="shared" si="20"/>
        <v>2.5710872800425142E-2</v>
      </c>
      <c r="Q72" s="19">
        <f t="shared" si="21"/>
        <v>56848.562862908322</v>
      </c>
      <c r="S72" s="18">
        <f t="shared" si="22"/>
        <v>3.156609035194835E-2</v>
      </c>
      <c r="T72" s="19">
        <f t="shared" si="23"/>
        <v>68873.76419758203</v>
      </c>
      <c r="V72" s="18">
        <f t="shared" si="24"/>
        <v>0.10587934088279985</v>
      </c>
      <c r="W72" s="19">
        <f t="shared" si="25"/>
        <v>166376.29423343763</v>
      </c>
    </row>
    <row r="73" spans="15:23" x14ac:dyDescent="0.55000000000000004">
      <c r="O73" s="13" t="s">
        <v>86</v>
      </c>
      <c r="P73" s="18">
        <f t="shared" si="20"/>
        <v>1.9341148150740197E-2</v>
      </c>
      <c r="Q73" s="19">
        <f t="shared" si="21"/>
        <v>44390.282718848866</v>
      </c>
      <c r="S73" s="18">
        <f t="shared" si="22"/>
        <v>2.5710872800425146E-2</v>
      </c>
      <c r="T73" s="19">
        <f t="shared" si="23"/>
        <v>56269.517973233924</v>
      </c>
      <c r="V73" s="18">
        <f t="shared" si="24"/>
        <v>3.156609035194835E-2</v>
      </c>
      <c r="W73" s="19">
        <f t="shared" si="25"/>
        <v>68172.233689459536</v>
      </c>
    </row>
    <row r="74" spans="15:23" x14ac:dyDescent="0.55000000000000004">
      <c r="O74" s="13" t="s">
        <v>87</v>
      </c>
      <c r="P74" s="18">
        <f t="shared" si="20"/>
        <v>1.393261985532422E-2</v>
      </c>
      <c r="Q74" s="19">
        <f t="shared" si="21"/>
        <v>34236.688130153656</v>
      </c>
      <c r="S74" s="18">
        <f t="shared" si="22"/>
        <v>1.9341148150740201E-2</v>
      </c>
      <c r="T74" s="19">
        <f t="shared" si="23"/>
        <v>43843.406158600068</v>
      </c>
      <c r="V74" s="18">
        <f t="shared" si="24"/>
        <v>2.5710872800425149E-2</v>
      </c>
      <c r="W74" s="19">
        <f t="shared" si="25"/>
        <v>55576.292371789546</v>
      </c>
    </row>
    <row r="75" spans="15:23" x14ac:dyDescent="0.55000000000000004">
      <c r="O75" s="13" t="s">
        <v>88</v>
      </c>
      <c r="P75" s="18">
        <f t="shared" si="20"/>
        <v>1.0828310850043498E-2</v>
      </c>
      <c r="Q75" s="19">
        <f t="shared" si="21"/>
        <v>25715.832260610365</v>
      </c>
      <c r="S75" s="18">
        <f t="shared" si="22"/>
        <v>1.3932619855324218E-2</v>
      </c>
      <c r="T75" s="19">
        <f t="shared" si="23"/>
        <v>33670.15117221322</v>
      </c>
      <c r="V75" s="18">
        <f t="shared" si="24"/>
        <v>1.9341148150740197E-2</v>
      </c>
      <c r="W75" s="19">
        <f t="shared" si="25"/>
        <v>43117.900529772509</v>
      </c>
    </row>
    <row r="76" spans="15:23" x14ac:dyDescent="0.55000000000000004">
      <c r="O76" s="13" t="s">
        <v>89</v>
      </c>
      <c r="P76" s="18">
        <f t="shared" si="20"/>
        <v>5.9341839437184749E-3</v>
      </c>
      <c r="Q76" s="19">
        <f t="shared" si="21"/>
        <v>12957.20614562124</v>
      </c>
      <c r="S76" s="18">
        <f t="shared" si="22"/>
        <v>1.0828310850043496E-2</v>
      </c>
      <c r="T76" s="19">
        <f t="shared" si="23"/>
        <v>25157.578649453884</v>
      </c>
      <c r="V76" s="18">
        <f t="shared" si="24"/>
        <v>1.3932619855324218E-2</v>
      </c>
      <c r="W76" s="19">
        <f t="shared" si="25"/>
        <v>32939.220775343907</v>
      </c>
    </row>
    <row r="77" spans="15:23" x14ac:dyDescent="0.55000000000000004">
      <c r="O77" s="13" t="s">
        <v>90</v>
      </c>
      <c r="P77" s="18">
        <f t="shared" si="20"/>
        <v>1.5950860128922395E-3</v>
      </c>
      <c r="Q77" s="19">
        <f t="shared" si="21"/>
        <v>3129.2541153840843</v>
      </c>
      <c r="S77" s="18">
        <f t="shared" si="22"/>
        <v>5.9341839437184758E-3</v>
      </c>
      <c r="T77" s="19">
        <f t="shared" si="23"/>
        <v>12675.923897083183</v>
      </c>
      <c r="V77" s="18">
        <f t="shared" si="24"/>
        <v>1.0828310850043496E-2</v>
      </c>
      <c r="W77" s="19">
        <f t="shared" si="25"/>
        <v>24611.443918651381</v>
      </c>
    </row>
    <row r="78" spans="15:23" x14ac:dyDescent="0.55000000000000004">
      <c r="O78" s="9" t="s">
        <v>62</v>
      </c>
      <c r="P78" s="18">
        <f t="shared" si="20"/>
        <v>7.6949924034444867E-2</v>
      </c>
      <c r="Q78" s="19">
        <f t="shared" si="21"/>
        <v>1741038.306481462</v>
      </c>
      <c r="S78" s="18">
        <f t="shared" si="22"/>
        <v>0.10448618121901317</v>
      </c>
      <c r="T78" s="19">
        <f t="shared" si="23"/>
        <v>2369397.7787712449</v>
      </c>
      <c r="V78" s="18">
        <f t="shared" si="24"/>
        <v>0.1388037336941787</v>
      </c>
      <c r="W78" s="19">
        <f t="shared" si="25"/>
        <v>3130907.481351851</v>
      </c>
    </row>
  </sheetData>
  <mergeCells count="1">
    <mergeCell ref="A5:A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DE9B-EABE-4089-B2C4-678C0084E06E}">
  <dimension ref="A1:S33"/>
  <sheetViews>
    <sheetView topLeftCell="E1" workbookViewId="0">
      <selection activeCell="B9" sqref="B9:R9"/>
    </sheetView>
  </sheetViews>
  <sheetFormatPr defaultRowHeight="14.4" x14ac:dyDescent="0.55000000000000004"/>
  <cols>
    <col min="2" max="2" width="10.83984375" bestFit="1" customWidth="1"/>
    <col min="3" max="3" width="11.734375" bestFit="1" customWidth="1"/>
    <col min="4" max="4" width="19.83984375" bestFit="1" customWidth="1"/>
    <col min="5" max="5" width="9.15625" bestFit="1" customWidth="1"/>
    <col min="6" max="6" width="11.734375" bestFit="1" customWidth="1"/>
    <col min="7" max="7" width="13.47265625" customWidth="1"/>
    <col min="8" max="8" width="23" customWidth="1"/>
    <col min="9" max="13" width="11.734375" bestFit="1" customWidth="1"/>
    <col min="14" max="14" width="7.89453125" customWidth="1"/>
    <col min="15" max="15" width="13.47265625" bestFit="1" customWidth="1"/>
    <col min="16" max="17" width="11.734375" bestFit="1" customWidth="1"/>
    <col min="18" max="18" width="8.89453125" bestFit="1" customWidth="1"/>
    <col min="19" max="19" width="9.7890625" bestFit="1" customWidth="1"/>
  </cols>
  <sheetData>
    <row r="1" spans="1:19" x14ac:dyDescent="0.55000000000000004">
      <c r="B1" s="40" t="s">
        <v>112</v>
      </c>
      <c r="C1" s="40" t="s">
        <v>113</v>
      </c>
      <c r="D1" s="40" t="s">
        <v>114</v>
      </c>
      <c r="E1" s="40" t="s">
        <v>115</v>
      </c>
      <c r="F1" s="40" t="s">
        <v>116</v>
      </c>
      <c r="G1" s="40" t="s">
        <v>117</v>
      </c>
      <c r="H1" s="40" t="s">
        <v>118</v>
      </c>
      <c r="I1" s="40" t="s">
        <v>119</v>
      </c>
      <c r="J1" s="40" t="s">
        <v>120</v>
      </c>
      <c r="K1" s="40" t="s">
        <v>121</v>
      </c>
      <c r="L1" s="40" t="s">
        <v>122</v>
      </c>
      <c r="M1" s="40" t="s">
        <v>123</v>
      </c>
      <c r="N1" s="40" t="s">
        <v>124</v>
      </c>
      <c r="O1" s="40" t="s">
        <v>125</v>
      </c>
      <c r="P1" s="40" t="s">
        <v>126</v>
      </c>
      <c r="Q1" s="40" t="s">
        <v>127</v>
      </c>
      <c r="R1" s="40" t="s">
        <v>128</v>
      </c>
    </row>
    <row r="2" spans="1:19" x14ac:dyDescent="0.55000000000000004">
      <c r="B2" s="34">
        <v>184</v>
      </c>
      <c r="C2" s="34">
        <v>117</v>
      </c>
      <c r="D2" s="34">
        <v>113</v>
      </c>
      <c r="E2" s="34">
        <v>99</v>
      </c>
      <c r="F2" s="34">
        <v>85</v>
      </c>
      <c r="G2" s="34">
        <v>47</v>
      </c>
      <c r="H2" s="34">
        <v>44</v>
      </c>
      <c r="I2" s="34">
        <v>37</v>
      </c>
      <c r="J2" s="34">
        <v>32</v>
      </c>
      <c r="K2" s="34">
        <v>25</v>
      </c>
      <c r="L2" s="34">
        <v>23</v>
      </c>
      <c r="M2" s="34">
        <v>19</v>
      </c>
      <c r="N2" s="34">
        <v>18</v>
      </c>
      <c r="O2" s="34">
        <v>12</v>
      </c>
      <c r="P2" s="34">
        <v>10</v>
      </c>
      <c r="Q2" s="34">
        <v>4</v>
      </c>
      <c r="R2" s="34">
        <v>3</v>
      </c>
      <c r="S2">
        <f>SUM(B2:R2)</f>
        <v>872</v>
      </c>
    </row>
    <row r="3" spans="1:19" hidden="1" x14ac:dyDescent="0.55000000000000004">
      <c r="A3">
        <f t="shared" ref="A3:Q3" si="0">B2*100/$S$2</f>
        <v>21.100917431192659</v>
      </c>
      <c r="B3">
        <f t="shared" si="0"/>
        <v>13.417431192660551</v>
      </c>
      <c r="C3">
        <f t="shared" si="0"/>
        <v>12.958715596330276</v>
      </c>
      <c r="D3">
        <f t="shared" si="0"/>
        <v>11.353211009174313</v>
      </c>
      <c r="E3">
        <f t="shared" si="0"/>
        <v>9.7477064220183482</v>
      </c>
      <c r="F3">
        <f t="shared" si="0"/>
        <v>5.3899082568807337</v>
      </c>
      <c r="G3">
        <f t="shared" si="0"/>
        <v>5.0458715596330279</v>
      </c>
      <c r="H3">
        <f t="shared" si="0"/>
        <v>4.2431192660550456</v>
      </c>
      <c r="I3">
        <f t="shared" si="0"/>
        <v>3.669724770642202</v>
      </c>
      <c r="J3">
        <f t="shared" si="0"/>
        <v>2.8669724770642202</v>
      </c>
      <c r="K3">
        <f t="shared" si="0"/>
        <v>2.6376146788990824</v>
      </c>
      <c r="L3">
        <f t="shared" si="0"/>
        <v>2.1788990825688073</v>
      </c>
      <c r="M3">
        <f t="shared" si="0"/>
        <v>2.0642201834862384</v>
      </c>
      <c r="N3">
        <f t="shared" si="0"/>
        <v>1.3761467889908257</v>
      </c>
      <c r="O3">
        <f t="shared" si="0"/>
        <v>1.1467889908256881</v>
      </c>
      <c r="P3">
        <f t="shared" si="0"/>
        <v>0.45871559633027525</v>
      </c>
      <c r="Q3">
        <f t="shared" si="0"/>
        <v>0.34403669724770641</v>
      </c>
    </row>
    <row r="4" spans="1:19" ht="28.8" x14ac:dyDescent="0.55000000000000004">
      <c r="A4" s="38" t="s">
        <v>129</v>
      </c>
      <c r="B4" s="39">
        <v>21.100917431192659</v>
      </c>
      <c r="C4" s="39">
        <v>13.417431192660551</v>
      </c>
      <c r="D4" s="39">
        <v>12.958715596330276</v>
      </c>
      <c r="E4" s="39">
        <v>11.353211009174313</v>
      </c>
      <c r="F4" s="39">
        <v>9.7477064220183482</v>
      </c>
      <c r="G4" s="39">
        <v>5.3899082568807337</v>
      </c>
      <c r="H4" s="39">
        <v>5.0458715596330279</v>
      </c>
      <c r="I4" s="39">
        <v>4.2431192660550456</v>
      </c>
      <c r="J4" s="39">
        <v>3.669724770642202</v>
      </c>
      <c r="K4" s="39">
        <v>2.8669724770642202</v>
      </c>
      <c r="L4" s="39">
        <v>2.6376146788990824</v>
      </c>
      <c r="M4" s="39">
        <v>2.1788990825688073</v>
      </c>
      <c r="N4" s="39">
        <v>2.0642201834862384</v>
      </c>
      <c r="O4" s="39">
        <v>1.3761467889908257</v>
      </c>
      <c r="P4" s="39">
        <v>1.1467889908256881</v>
      </c>
      <c r="Q4" s="39">
        <v>0.45871559633027525</v>
      </c>
      <c r="R4" s="39">
        <v>0.34403669724770641</v>
      </c>
    </row>
    <row r="5" spans="1:19" x14ac:dyDescent="0.55000000000000004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9" x14ac:dyDescent="0.55000000000000004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</row>
    <row r="7" spans="1:19" ht="20.399999999999999" x14ac:dyDescent="0.75">
      <c r="A7" s="41" t="s">
        <v>130</v>
      </c>
      <c r="B7" s="4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9" spans="1:19" x14ac:dyDescent="0.55000000000000004">
      <c r="A9" s="35" t="s">
        <v>101</v>
      </c>
      <c r="B9" s="35" t="s">
        <v>112</v>
      </c>
      <c r="C9" s="35" t="s">
        <v>113</v>
      </c>
      <c r="D9" s="35" t="s">
        <v>114</v>
      </c>
      <c r="E9" s="35" t="s">
        <v>115</v>
      </c>
      <c r="F9" s="35" t="s">
        <v>116</v>
      </c>
      <c r="G9" s="35" t="s">
        <v>117</v>
      </c>
      <c r="H9" s="35" t="s">
        <v>118</v>
      </c>
      <c r="I9" s="35" t="s">
        <v>119</v>
      </c>
      <c r="J9" s="35" t="s">
        <v>120</v>
      </c>
      <c r="K9" s="35" t="s">
        <v>121</v>
      </c>
      <c r="L9" s="35" t="s">
        <v>122</v>
      </c>
      <c r="M9" s="35" t="s">
        <v>123</v>
      </c>
      <c r="N9" s="35" t="s">
        <v>124</v>
      </c>
      <c r="O9" s="35" t="s">
        <v>125</v>
      </c>
      <c r="P9" s="35" t="s">
        <v>126</v>
      </c>
      <c r="Q9" s="35" t="s">
        <v>127</v>
      </c>
      <c r="R9" s="35" t="s">
        <v>128</v>
      </c>
    </row>
    <row r="10" spans="1:19" x14ac:dyDescent="0.55000000000000004">
      <c r="A10" s="23">
        <v>2022</v>
      </c>
      <c r="B10" s="36">
        <f>B4*$S$10/100</f>
        <v>1506.7374858599717</v>
      </c>
      <c r="C10" s="36">
        <f t="shared" ref="C10:R10" si="1">C4*$S$10/100</f>
        <v>958.08851003052564</v>
      </c>
      <c r="D10" s="36">
        <f t="shared" si="1"/>
        <v>925.33334729443925</v>
      </c>
      <c r="E10" s="36">
        <f t="shared" si="1"/>
        <v>810.69027771813705</v>
      </c>
      <c r="F10" s="36">
        <f t="shared" si="1"/>
        <v>696.04720814183474</v>
      </c>
      <c r="G10" s="36">
        <f t="shared" si="1"/>
        <v>384.87316214901455</v>
      </c>
      <c r="H10" s="36">
        <f t="shared" si="1"/>
        <v>360.30679009694978</v>
      </c>
      <c r="I10" s="36">
        <f t="shared" si="1"/>
        <v>302.98525530879868</v>
      </c>
      <c r="J10" s="36">
        <f t="shared" si="1"/>
        <v>262.04130188869078</v>
      </c>
      <c r="K10" s="36">
        <f t="shared" si="1"/>
        <v>204.71976710053966</v>
      </c>
      <c r="L10" s="36">
        <f t="shared" si="1"/>
        <v>188.34218573249646</v>
      </c>
      <c r="M10" s="36">
        <f t="shared" si="1"/>
        <v>155.58702299641013</v>
      </c>
      <c r="N10" s="36">
        <f t="shared" si="1"/>
        <v>147.39823231238853</v>
      </c>
      <c r="O10" s="36">
        <f t="shared" si="1"/>
        <v>98.265488208259029</v>
      </c>
      <c r="P10" s="36">
        <f t="shared" si="1"/>
        <v>81.887906840215862</v>
      </c>
      <c r="Q10" s="36">
        <f t="shared" si="1"/>
        <v>32.755162736086348</v>
      </c>
      <c r="R10" s="36">
        <f t="shared" si="1"/>
        <v>24.566372052064757</v>
      </c>
      <c r="S10" s="43">
        <v>7140.6254764668229</v>
      </c>
    </row>
    <row r="11" spans="1:19" x14ac:dyDescent="0.55000000000000004">
      <c r="A11" s="1">
        <v>2023</v>
      </c>
      <c r="B11" s="36">
        <f>B4*$S$11/100</f>
        <v>2127.4133944724149</v>
      </c>
      <c r="C11" s="36">
        <f t="shared" ref="C11:R11" si="2">C4*$S$11/100</f>
        <v>1352.7574301808293</v>
      </c>
      <c r="D11" s="36">
        <f t="shared" si="2"/>
        <v>1306.5093129096897</v>
      </c>
      <c r="E11" s="36">
        <f t="shared" si="2"/>
        <v>1144.6409024607017</v>
      </c>
      <c r="F11" s="36">
        <f t="shared" si="2"/>
        <v>982.77249201171333</v>
      </c>
      <c r="G11" s="36">
        <f t="shared" si="2"/>
        <v>543.4153779358885</v>
      </c>
      <c r="H11" s="36">
        <f t="shared" si="2"/>
        <v>508.72928998253406</v>
      </c>
      <c r="I11" s="36">
        <f t="shared" si="2"/>
        <v>427.79508475803993</v>
      </c>
      <c r="J11" s="36">
        <f t="shared" si="2"/>
        <v>369.98493816911565</v>
      </c>
      <c r="K11" s="36">
        <f t="shared" si="2"/>
        <v>289.05073294462159</v>
      </c>
      <c r="L11" s="36">
        <f t="shared" si="2"/>
        <v>265.92667430905186</v>
      </c>
      <c r="M11" s="36">
        <f t="shared" si="2"/>
        <v>219.67855703791238</v>
      </c>
      <c r="N11" s="36">
        <f t="shared" si="2"/>
        <v>208.11652772012752</v>
      </c>
      <c r="O11" s="36">
        <f t="shared" si="2"/>
        <v>138.74435181341835</v>
      </c>
      <c r="P11" s="36">
        <f t="shared" si="2"/>
        <v>115.62029317784864</v>
      </c>
      <c r="Q11" s="36">
        <f t="shared" si="2"/>
        <v>46.248117271139456</v>
      </c>
      <c r="R11" s="36">
        <f t="shared" si="2"/>
        <v>34.686087953354587</v>
      </c>
      <c r="S11" s="43">
        <v>10082.089565108401</v>
      </c>
    </row>
    <row r="12" spans="1:19" x14ac:dyDescent="0.55000000000000004">
      <c r="A12" s="23">
        <v>2024</v>
      </c>
      <c r="B12" s="36">
        <f>B4*$S$12/100</f>
        <v>2796.1791724627797</v>
      </c>
      <c r="C12" s="36">
        <f t="shared" ref="C12:R12" si="3">C4*$S$12/100</f>
        <v>1778.0052346638329</v>
      </c>
      <c r="D12" s="36">
        <f t="shared" si="3"/>
        <v>1717.218730914642</v>
      </c>
      <c r="E12" s="36">
        <f t="shared" si="3"/>
        <v>1504.465967792474</v>
      </c>
      <c r="F12" s="36">
        <f t="shared" si="3"/>
        <v>1291.7132046703057</v>
      </c>
      <c r="G12" s="36">
        <f t="shared" si="3"/>
        <v>714.24141905299257</v>
      </c>
      <c r="H12" s="36">
        <f t="shared" si="3"/>
        <v>668.65154124109949</v>
      </c>
      <c r="I12" s="36">
        <f t="shared" si="3"/>
        <v>562.27515968001546</v>
      </c>
      <c r="J12" s="36">
        <f t="shared" si="3"/>
        <v>486.29202999352691</v>
      </c>
      <c r="K12" s="36">
        <f t="shared" si="3"/>
        <v>379.91564843244288</v>
      </c>
      <c r="L12" s="36">
        <f t="shared" si="3"/>
        <v>349.52239655784746</v>
      </c>
      <c r="M12" s="36">
        <f t="shared" si="3"/>
        <v>288.73589280865656</v>
      </c>
      <c r="N12" s="36">
        <f t="shared" si="3"/>
        <v>273.53926687135885</v>
      </c>
      <c r="O12" s="36">
        <f t="shared" si="3"/>
        <v>182.35951124757258</v>
      </c>
      <c r="P12" s="36">
        <f t="shared" si="3"/>
        <v>151.96625937297713</v>
      </c>
      <c r="Q12" s="36">
        <f t="shared" si="3"/>
        <v>60.786503749190864</v>
      </c>
      <c r="R12" s="36">
        <f t="shared" si="3"/>
        <v>45.589877811893146</v>
      </c>
      <c r="S12" s="43">
        <v>13251.457817323608</v>
      </c>
    </row>
    <row r="13" spans="1:19" x14ac:dyDescent="0.55000000000000004">
      <c r="A13" s="1">
        <v>2025</v>
      </c>
      <c r="B13" s="36">
        <f>B4*$S$13/100</f>
        <v>3493.7698712012102</v>
      </c>
      <c r="C13" s="36">
        <f t="shared" ref="C13:Q13" si="4">C4*$S$13/100</f>
        <v>2221.581928970335</v>
      </c>
      <c r="D13" s="36">
        <f t="shared" si="4"/>
        <v>2145.6304100311781</v>
      </c>
      <c r="E13" s="36">
        <f t="shared" si="4"/>
        <v>1879.8000937441298</v>
      </c>
      <c r="F13" s="36">
        <f t="shared" si="4"/>
        <v>1613.9697774570807</v>
      </c>
      <c r="G13" s="36">
        <f t="shared" si="4"/>
        <v>892.43034753509176</v>
      </c>
      <c r="H13" s="36">
        <f t="shared" si="4"/>
        <v>835.46670833072426</v>
      </c>
      <c r="I13" s="36">
        <f t="shared" si="4"/>
        <v>702.55155018719995</v>
      </c>
      <c r="J13" s="36">
        <f t="shared" si="4"/>
        <v>607.61215151325405</v>
      </c>
      <c r="K13" s="36">
        <f t="shared" si="4"/>
        <v>474.69699336972968</v>
      </c>
      <c r="L13" s="36">
        <f t="shared" si="4"/>
        <v>436.72123390015128</v>
      </c>
      <c r="M13" s="36">
        <f t="shared" si="4"/>
        <v>360.76971496099452</v>
      </c>
      <c r="N13" s="36">
        <f t="shared" si="4"/>
        <v>341.78183522620537</v>
      </c>
      <c r="O13" s="36">
        <f t="shared" si="4"/>
        <v>227.85455681747021</v>
      </c>
      <c r="P13" s="36">
        <f t="shared" si="4"/>
        <v>189.87879734789186</v>
      </c>
      <c r="Q13" s="36">
        <f t="shared" si="4"/>
        <v>75.951518939156756</v>
      </c>
      <c r="R13" s="36">
        <f>R4*$S$13/100</f>
        <v>56.963639204367553</v>
      </c>
      <c r="S13" s="43">
        <v>16557.431128736171</v>
      </c>
    </row>
    <row r="14" spans="1:19" x14ac:dyDescent="0.55000000000000004">
      <c r="A14" s="23">
        <v>2026</v>
      </c>
      <c r="B14" s="36">
        <f>B4*$S$14/100</f>
        <v>4208.6383609676595</v>
      </c>
      <c r="C14" s="36">
        <f t="shared" ref="C14:R14" si="5">C4*$S$14/100</f>
        <v>2676.1450447457405</v>
      </c>
      <c r="D14" s="36">
        <f t="shared" si="5"/>
        <v>2584.6529064638348</v>
      </c>
      <c r="E14" s="36">
        <f t="shared" si="5"/>
        <v>2264.4304224771649</v>
      </c>
      <c r="F14" s="36">
        <f t="shared" si="5"/>
        <v>1944.2079384904951</v>
      </c>
      <c r="G14" s="36">
        <f t="shared" si="5"/>
        <v>1075.0326248123915</v>
      </c>
      <c r="H14" s="36">
        <f t="shared" si="5"/>
        <v>1006.4135211009623</v>
      </c>
      <c r="I14" s="36">
        <f t="shared" si="5"/>
        <v>846.30227910762721</v>
      </c>
      <c r="J14" s="36">
        <f t="shared" si="5"/>
        <v>731.93710625524534</v>
      </c>
      <c r="K14" s="36">
        <f t="shared" si="5"/>
        <v>571.8258642619104</v>
      </c>
      <c r="L14" s="36">
        <f t="shared" si="5"/>
        <v>526.07979512095744</v>
      </c>
      <c r="M14" s="36">
        <f t="shared" si="5"/>
        <v>434.58765683905187</v>
      </c>
      <c r="N14" s="36">
        <f t="shared" si="5"/>
        <v>411.7146222685754</v>
      </c>
      <c r="O14" s="36">
        <f t="shared" si="5"/>
        <v>274.47641484571699</v>
      </c>
      <c r="P14" s="36">
        <f t="shared" si="5"/>
        <v>228.73034570476415</v>
      </c>
      <c r="Q14" s="36">
        <f t="shared" si="5"/>
        <v>91.492138281905667</v>
      </c>
      <c r="R14" s="36">
        <f t="shared" si="5"/>
        <v>68.619103711429247</v>
      </c>
      <c r="S14" s="43">
        <v>19945.286145455433</v>
      </c>
    </row>
    <row r="15" spans="1:19" x14ac:dyDescent="0.55000000000000004">
      <c r="A15" s="1">
        <v>2027</v>
      </c>
      <c r="B15" s="36">
        <f>B4*$S$15/100</f>
        <v>4933.8632432458198</v>
      </c>
      <c r="C15" s="36">
        <f t="shared" ref="C15:R15" si="6">C4*$S$15/100</f>
        <v>3137.2934753247882</v>
      </c>
      <c r="D15" s="36">
        <f t="shared" si="6"/>
        <v>3030.0355787324875</v>
      </c>
      <c r="E15" s="36">
        <f t="shared" si="6"/>
        <v>2654.6329406594364</v>
      </c>
      <c r="F15" s="36">
        <f t="shared" si="6"/>
        <v>2279.2303025863844</v>
      </c>
      <c r="G15" s="36">
        <f t="shared" si="6"/>
        <v>1260.2802849595303</v>
      </c>
      <c r="H15" s="36">
        <f t="shared" si="6"/>
        <v>1179.836862515305</v>
      </c>
      <c r="I15" s="36">
        <f t="shared" si="6"/>
        <v>992.13554347877903</v>
      </c>
      <c r="J15" s="36">
        <f t="shared" si="6"/>
        <v>858.06317273840364</v>
      </c>
      <c r="K15" s="36">
        <f t="shared" si="6"/>
        <v>670.36185370187786</v>
      </c>
      <c r="L15" s="36">
        <f t="shared" si="6"/>
        <v>616.73290540572748</v>
      </c>
      <c r="M15" s="36">
        <f t="shared" si="6"/>
        <v>509.47500881342711</v>
      </c>
      <c r="N15" s="36">
        <f t="shared" si="6"/>
        <v>482.66053466535197</v>
      </c>
      <c r="O15" s="36">
        <f t="shared" si="6"/>
        <v>321.77368977690134</v>
      </c>
      <c r="P15" s="36">
        <f t="shared" si="6"/>
        <v>268.14474148075112</v>
      </c>
      <c r="Q15" s="36">
        <f t="shared" si="6"/>
        <v>107.25789659230045</v>
      </c>
      <c r="R15" s="36">
        <f t="shared" si="6"/>
        <v>80.443422444225334</v>
      </c>
      <c r="S15" s="43">
        <v>23382.221457121497</v>
      </c>
    </row>
    <row r="16" spans="1:19" x14ac:dyDescent="0.55000000000000004">
      <c r="A16" s="23">
        <v>2028</v>
      </c>
      <c r="B16" s="36">
        <f>B4*$S$16/100</f>
        <v>5665.2957979794464</v>
      </c>
      <c r="C16" s="36">
        <f t="shared" ref="C16:R16" si="7">C4*$S$16/100</f>
        <v>3602.389175889105</v>
      </c>
      <c r="D16" s="36">
        <f t="shared" si="7"/>
        <v>3479.230571585204</v>
      </c>
      <c r="E16" s="36">
        <f t="shared" si="7"/>
        <v>3048.1754565215501</v>
      </c>
      <c r="F16" s="36">
        <f t="shared" si="7"/>
        <v>2617.1203414578963</v>
      </c>
      <c r="G16" s="36">
        <f t="shared" si="7"/>
        <v>1447.1136005708368</v>
      </c>
      <c r="H16" s="36">
        <f t="shared" si="7"/>
        <v>1354.7446473429113</v>
      </c>
      <c r="I16" s="36">
        <f t="shared" si="7"/>
        <v>1139.2170898110844</v>
      </c>
      <c r="J16" s="36">
        <f t="shared" si="7"/>
        <v>985.26883443120812</v>
      </c>
      <c r="K16" s="36">
        <f t="shared" si="7"/>
        <v>769.74127689938132</v>
      </c>
      <c r="L16" s="36">
        <f t="shared" si="7"/>
        <v>708.1619747474308</v>
      </c>
      <c r="M16" s="36">
        <f t="shared" si="7"/>
        <v>585.00337044352978</v>
      </c>
      <c r="N16" s="36">
        <f t="shared" si="7"/>
        <v>554.21371936755452</v>
      </c>
      <c r="O16" s="36">
        <f t="shared" si="7"/>
        <v>369.47581291170303</v>
      </c>
      <c r="P16" s="36">
        <f t="shared" si="7"/>
        <v>307.89651075975252</v>
      </c>
      <c r="Q16" s="36">
        <f t="shared" si="7"/>
        <v>123.15860430390101</v>
      </c>
      <c r="R16" s="36">
        <f t="shared" si="7"/>
        <v>92.368953227925758</v>
      </c>
      <c r="S16" s="43">
        <v>26848.57573825042</v>
      </c>
    </row>
    <row r="17" spans="1:19" x14ac:dyDescent="0.55000000000000004">
      <c r="A17" s="1">
        <v>2029</v>
      </c>
      <c r="B17" s="36">
        <f>B4*$S$17/100</f>
        <v>6400.4492620249621</v>
      </c>
      <c r="C17" s="36">
        <f t="shared" ref="C17:Q17" si="8">C4*$S$17/100</f>
        <v>4069.850889439786</v>
      </c>
      <c r="D17" s="36">
        <f t="shared" si="8"/>
        <v>3930.7106880914171</v>
      </c>
      <c r="E17" s="36">
        <f t="shared" si="8"/>
        <v>3443.7199833721265</v>
      </c>
      <c r="F17" s="36">
        <f t="shared" si="8"/>
        <v>2956.7292786528355</v>
      </c>
      <c r="G17" s="36">
        <f t="shared" si="8"/>
        <v>1634.8973658433326</v>
      </c>
      <c r="H17" s="36">
        <f t="shared" si="8"/>
        <v>1530.5422148320563</v>
      </c>
      <c r="I17" s="36">
        <f t="shared" si="8"/>
        <v>1287.0468624724108</v>
      </c>
      <c r="J17" s="36">
        <f t="shared" si="8"/>
        <v>1113.12161078695</v>
      </c>
      <c r="K17" s="36">
        <f t="shared" si="8"/>
        <v>869.62625842730461</v>
      </c>
      <c r="L17" s="36">
        <f t="shared" si="8"/>
        <v>800.05615775312026</v>
      </c>
      <c r="M17" s="36">
        <f t="shared" si="8"/>
        <v>660.91595640475146</v>
      </c>
      <c r="N17" s="36">
        <f t="shared" si="8"/>
        <v>626.13090606765934</v>
      </c>
      <c r="O17" s="36">
        <f t="shared" si="8"/>
        <v>417.42060404510624</v>
      </c>
      <c r="P17" s="36">
        <f t="shared" si="8"/>
        <v>347.85050337092184</v>
      </c>
      <c r="Q17" s="36">
        <f t="shared" si="8"/>
        <v>139.14020134836875</v>
      </c>
      <c r="R17" s="36">
        <f>R4*$S$17/100</f>
        <v>104.35515101127656</v>
      </c>
      <c r="S17" s="43">
        <v>30332.563893944385</v>
      </c>
    </row>
    <row r="18" spans="1:19" x14ac:dyDescent="0.55000000000000004">
      <c r="A18" s="23">
        <v>2030</v>
      </c>
      <c r="B18" s="36">
        <f>B4*$S$18/100</f>
        <v>7137.8330573591938</v>
      </c>
      <c r="C18" s="36">
        <f t="shared" ref="C18:R18" si="9">C4*$S$18/100</f>
        <v>4538.7308027773142</v>
      </c>
      <c r="D18" s="36">
        <f t="shared" si="9"/>
        <v>4383.5605189216794</v>
      </c>
      <c r="E18" s="36">
        <f t="shared" si="9"/>
        <v>3840.4645254269581</v>
      </c>
      <c r="F18" s="36">
        <f>F4*$S$18/100</f>
        <v>3297.3685319322367</v>
      </c>
      <c r="G18" s="36">
        <f t="shared" si="9"/>
        <v>1823.2508353037074</v>
      </c>
      <c r="H18" s="36">
        <f t="shared" si="9"/>
        <v>1706.8731224119815</v>
      </c>
      <c r="I18" s="36">
        <f t="shared" si="9"/>
        <v>1435.3251256646204</v>
      </c>
      <c r="J18" s="36">
        <f t="shared" si="9"/>
        <v>1241.3622708450775</v>
      </c>
      <c r="K18" s="36">
        <f t="shared" si="9"/>
        <v>969.81427409771675</v>
      </c>
      <c r="L18" s="36">
        <f t="shared" si="9"/>
        <v>892.22913216989923</v>
      </c>
      <c r="M18" s="36">
        <f t="shared" si="9"/>
        <v>737.05884831426465</v>
      </c>
      <c r="N18" s="36">
        <f t="shared" si="9"/>
        <v>698.26627735035595</v>
      </c>
      <c r="O18" s="36">
        <f t="shared" si="9"/>
        <v>465.51085156690397</v>
      </c>
      <c r="P18" s="36">
        <f t="shared" si="9"/>
        <v>387.92570963908662</v>
      </c>
      <c r="Q18" s="36">
        <f t="shared" si="9"/>
        <v>155.17028385563469</v>
      </c>
      <c r="R18" s="36">
        <f t="shared" si="9"/>
        <v>116.37771289172599</v>
      </c>
      <c r="S18" s="43">
        <v>33827.121880528357</v>
      </c>
    </row>
    <row r="19" spans="1:19" x14ac:dyDescent="0.55000000000000004">
      <c r="A19" s="1">
        <v>2031</v>
      </c>
      <c r="B19" s="36">
        <f>B4*$S$19/100</f>
        <v>7876.5537242052987</v>
      </c>
      <c r="C19" s="36">
        <f t="shared" ref="C19:R19" si="10">C4*$S$19/100</f>
        <v>5008.4607920218477</v>
      </c>
      <c r="D19" s="36">
        <f t="shared" si="10"/>
        <v>4837.2313632347759</v>
      </c>
      <c r="E19" s="36">
        <f t="shared" si="10"/>
        <v>4237.9283624800255</v>
      </c>
      <c r="F19" s="36">
        <f t="shared" si="10"/>
        <v>3638.6253617252737</v>
      </c>
      <c r="G19" s="36">
        <f t="shared" si="10"/>
        <v>2011.9457882480926</v>
      </c>
      <c r="H19" s="36">
        <f t="shared" si="10"/>
        <v>1883.523716657789</v>
      </c>
      <c r="I19" s="36">
        <f t="shared" si="10"/>
        <v>1583.8722162804133</v>
      </c>
      <c r="J19" s="36">
        <f t="shared" si="10"/>
        <v>1369.8354302965738</v>
      </c>
      <c r="K19" s="36">
        <f t="shared" si="10"/>
        <v>1070.1839299191984</v>
      </c>
      <c r="L19" s="36">
        <f t="shared" si="10"/>
        <v>984.56921552566234</v>
      </c>
      <c r="M19" s="36">
        <f t="shared" si="10"/>
        <v>813.33978673859065</v>
      </c>
      <c r="N19" s="36">
        <f t="shared" si="10"/>
        <v>770.53242954182269</v>
      </c>
      <c r="O19" s="36">
        <f t="shared" si="10"/>
        <v>513.68828636121509</v>
      </c>
      <c r="P19" s="36">
        <f t="shared" si="10"/>
        <v>428.0735719676793</v>
      </c>
      <c r="Q19" s="36">
        <f t="shared" si="10"/>
        <v>171.22942878707173</v>
      </c>
      <c r="R19" s="36">
        <f t="shared" si="10"/>
        <v>128.42207159030377</v>
      </c>
      <c r="S19" s="43">
        <v>37328.015475581633</v>
      </c>
    </row>
    <row r="20" spans="1:19" x14ac:dyDescent="0.55000000000000004">
      <c r="A20" s="23">
        <v>2032</v>
      </c>
      <c r="B20" s="36">
        <f>B4*$S$20/100</f>
        <v>8616.0757183915648</v>
      </c>
      <c r="C20" s="36">
        <f t="shared" ref="C20:R20" si="11">C4*$S$20/100</f>
        <v>5478.7003209337672</v>
      </c>
      <c r="D20" s="36">
        <f t="shared" si="11"/>
        <v>5291.3943270556892</v>
      </c>
      <c r="E20" s="36">
        <f t="shared" si="11"/>
        <v>4635.8233484824186</v>
      </c>
      <c r="F20" s="36">
        <f t="shared" si="11"/>
        <v>3980.2523699091466</v>
      </c>
      <c r="G20" s="36">
        <f t="shared" si="11"/>
        <v>2200.8454280674105</v>
      </c>
      <c r="H20" s="36">
        <f t="shared" si="11"/>
        <v>2060.3659326588527</v>
      </c>
      <c r="I20" s="36">
        <f t="shared" si="11"/>
        <v>1732.5804433722169</v>
      </c>
      <c r="J20" s="36">
        <f t="shared" si="11"/>
        <v>1498.4479510246204</v>
      </c>
      <c r="K20" s="36">
        <f t="shared" si="11"/>
        <v>1170.6624617379844</v>
      </c>
      <c r="L20" s="36">
        <f t="shared" si="11"/>
        <v>1077.0094647989456</v>
      </c>
      <c r="M20" s="36">
        <f t="shared" si="11"/>
        <v>889.70347092086809</v>
      </c>
      <c r="N20" s="36">
        <f t="shared" si="11"/>
        <v>842.87697245134871</v>
      </c>
      <c r="O20" s="36">
        <f t="shared" si="11"/>
        <v>561.91798163423255</v>
      </c>
      <c r="P20" s="36">
        <f t="shared" si="11"/>
        <v>468.26498469519379</v>
      </c>
      <c r="Q20" s="36">
        <f t="shared" si="11"/>
        <v>187.30599387807754</v>
      </c>
      <c r="R20" s="36">
        <f t="shared" si="11"/>
        <v>140.47949540855814</v>
      </c>
      <c r="S20" s="43">
        <v>40832.706665420897</v>
      </c>
    </row>
    <row r="22" spans="1:19" x14ac:dyDescent="0.55000000000000004">
      <c r="A22" s="35" t="s">
        <v>101</v>
      </c>
      <c r="B22" s="35" t="s">
        <v>112</v>
      </c>
      <c r="C22" s="35" t="s">
        <v>113</v>
      </c>
      <c r="D22" s="35" t="s">
        <v>114</v>
      </c>
      <c r="E22" s="35" t="s">
        <v>115</v>
      </c>
      <c r="F22" s="35" t="s">
        <v>116</v>
      </c>
      <c r="G22" s="35" t="s">
        <v>117</v>
      </c>
      <c r="H22" s="35" t="s">
        <v>118</v>
      </c>
      <c r="I22" s="35" t="s">
        <v>119</v>
      </c>
      <c r="J22" s="35" t="s">
        <v>120</v>
      </c>
      <c r="K22" s="35" t="s">
        <v>121</v>
      </c>
      <c r="L22" s="35" t="s">
        <v>122</v>
      </c>
      <c r="M22" s="35" t="s">
        <v>123</v>
      </c>
      <c r="N22" s="35" t="s">
        <v>124</v>
      </c>
      <c r="O22" s="35" t="s">
        <v>125</v>
      </c>
      <c r="P22" s="35" t="s">
        <v>126</v>
      </c>
      <c r="Q22" s="35" t="s">
        <v>127</v>
      </c>
      <c r="R22" s="35" t="s">
        <v>128</v>
      </c>
    </row>
    <row r="23" spans="1:19" x14ac:dyDescent="0.55000000000000004">
      <c r="A23" s="23">
        <v>2022</v>
      </c>
      <c r="B23" s="43">
        <f>S23*$B$4/100</f>
        <v>1595.5386717862689</v>
      </c>
      <c r="C23" s="43">
        <f>S23*$C$4/100</f>
        <v>1014.554481516269</v>
      </c>
      <c r="D23" s="43">
        <f>S23*$D$4/100</f>
        <v>979.86885821656745</v>
      </c>
      <c r="E23" s="43">
        <f>S23*$E$4/100</f>
        <v>858.46917666761215</v>
      </c>
      <c r="F23" s="43">
        <f>S23*$F$4/100</f>
        <v>737.06949511865696</v>
      </c>
      <c r="G23" s="43">
        <f>S23*$G$4/100</f>
        <v>407.55607377149261</v>
      </c>
      <c r="H23" s="43">
        <f>S23*$H$4/100</f>
        <v>381.5418562967165</v>
      </c>
      <c r="I23" s="43">
        <f>S23*$I$4/100</f>
        <v>320.84201552223885</v>
      </c>
      <c r="J23" s="43">
        <f>S23*$J$4/100</f>
        <v>277.48498639761203</v>
      </c>
      <c r="K23" s="43">
        <f>S23*$K$4/100</f>
        <v>216.78514562313438</v>
      </c>
      <c r="L23" s="43">
        <f>S23*$L$4/100</f>
        <v>199.44233397328361</v>
      </c>
      <c r="M23" s="43">
        <f>S23*$M$4/100</f>
        <v>164.75671067358212</v>
      </c>
      <c r="N23" s="43">
        <f>S23*$N$4/100</f>
        <v>156.08530484865673</v>
      </c>
      <c r="O23" s="43">
        <f>S23*$O$4/100</f>
        <v>104.0568698991045</v>
      </c>
      <c r="P23" s="43">
        <f>S23*$P$4/100</f>
        <v>86.714058249253753</v>
      </c>
      <c r="Q23" s="43">
        <f>S23*$Q$4/100</f>
        <v>34.685623299701504</v>
      </c>
      <c r="R23" s="43">
        <f>S23*$R$4/100</f>
        <v>26.014217474776125</v>
      </c>
      <c r="S23" s="43">
        <v>7561.4658793349272</v>
      </c>
    </row>
    <row r="24" spans="1:19" x14ac:dyDescent="0.55000000000000004">
      <c r="A24" s="1">
        <v>2023</v>
      </c>
      <c r="B24" s="43">
        <f t="shared" ref="B24:B32" si="12">S24*$B$4/100</f>
        <v>2424.6843224477439</v>
      </c>
      <c r="C24" s="43">
        <f t="shared" ref="C24:C32" si="13">S24*$C$4/100</f>
        <v>1541.782965904272</v>
      </c>
      <c r="D24" s="43">
        <f t="shared" ref="D24:D33" si="14">S24*$D$4/100</f>
        <v>1489.0724371554079</v>
      </c>
      <c r="E24" s="43">
        <f t="shared" ref="E24:E33" si="15">S24*$E$4/100</f>
        <v>1304.585586534384</v>
      </c>
      <c r="F24" s="43">
        <f t="shared" ref="F24:F33" si="16">S24*$F$4/100</f>
        <v>1120.0987359133601</v>
      </c>
      <c r="G24" s="43">
        <f t="shared" ref="G24:G33" si="17">S24*$G$4/100</f>
        <v>619.34871279915194</v>
      </c>
      <c r="H24" s="43">
        <f t="shared" ref="H24:H33" si="18">S24*$H$4/100</f>
        <v>579.81581623750401</v>
      </c>
      <c r="I24" s="43">
        <f t="shared" ref="I24:I33" si="19">S24*$I$4/100</f>
        <v>487.57239092699194</v>
      </c>
      <c r="J24" s="43">
        <f t="shared" ref="J24:J33" si="20">S24*$J$4/100</f>
        <v>421.684229990912</v>
      </c>
      <c r="K24" s="43">
        <f t="shared" ref="K24:K33" si="21">S24*$K$4/100</f>
        <v>329.44080468040005</v>
      </c>
      <c r="L24" s="43">
        <f t="shared" ref="L24:L33" si="22">S24*$L$4/100</f>
        <v>303.08554030596798</v>
      </c>
      <c r="M24" s="43">
        <f t="shared" ref="M24:M33" si="23">S24*$M$4/100</f>
        <v>250.37501155710402</v>
      </c>
      <c r="N24" s="43">
        <f t="shared" ref="N24:N33" si="24">S24*$N$4/100</f>
        <v>237.19737936988795</v>
      </c>
      <c r="O24" s="43">
        <f t="shared" ref="O24:O33" si="25">S24*$O$4/100</f>
        <v>158.13158624659201</v>
      </c>
      <c r="P24" s="43">
        <f t="shared" ref="P24:P33" si="26">S24*$P$4/100</f>
        <v>131.77632187216</v>
      </c>
      <c r="Q24" s="43">
        <f t="shared" ref="Q24:Q33" si="27">S24*$Q$4/100</f>
        <v>52.710528748864</v>
      </c>
      <c r="R24" s="43">
        <f t="shared" ref="R24:R32" si="28">S24*$R$4/100</f>
        <v>39.532896561648002</v>
      </c>
      <c r="S24" s="43">
        <v>11490.895267252352</v>
      </c>
    </row>
    <row r="25" spans="1:19" x14ac:dyDescent="0.55000000000000004">
      <c r="A25" s="23">
        <v>2024</v>
      </c>
      <c r="B25" s="43">
        <f t="shared" si="12"/>
        <v>3404.627194273593</v>
      </c>
      <c r="C25" s="43">
        <f t="shared" si="13"/>
        <v>2164.8988137500564</v>
      </c>
      <c r="D25" s="43">
        <f t="shared" si="14"/>
        <v>2090.8851790919348</v>
      </c>
      <c r="E25" s="43">
        <f t="shared" si="15"/>
        <v>1831.8374577885093</v>
      </c>
      <c r="F25" s="43">
        <f t="shared" si="16"/>
        <v>1572.7897364850837</v>
      </c>
      <c r="G25" s="43">
        <f t="shared" si="17"/>
        <v>869.66020723292854</v>
      </c>
      <c r="H25" s="43">
        <f t="shared" si="18"/>
        <v>814.14998123933754</v>
      </c>
      <c r="I25" s="43">
        <f t="shared" si="19"/>
        <v>684.62612058762465</v>
      </c>
      <c r="J25" s="43">
        <f t="shared" si="20"/>
        <v>592.10907726497271</v>
      </c>
      <c r="K25" s="43">
        <f t="shared" si="21"/>
        <v>462.58521661325989</v>
      </c>
      <c r="L25" s="43">
        <f t="shared" si="22"/>
        <v>425.57839928419912</v>
      </c>
      <c r="M25" s="43">
        <f t="shared" si="23"/>
        <v>351.56476462607753</v>
      </c>
      <c r="N25" s="43">
        <f t="shared" si="24"/>
        <v>333.06135596154706</v>
      </c>
      <c r="O25" s="43">
        <f t="shared" si="25"/>
        <v>222.04090397436474</v>
      </c>
      <c r="P25" s="43">
        <f t="shared" si="26"/>
        <v>185.03408664530394</v>
      </c>
      <c r="Q25" s="43">
        <f t="shared" si="27"/>
        <v>74.013634658121589</v>
      </c>
      <c r="R25" s="43">
        <f t="shared" si="28"/>
        <v>55.510225993591185</v>
      </c>
      <c r="S25" s="43">
        <v>16134.972355470505</v>
      </c>
    </row>
    <row r="26" spans="1:19" x14ac:dyDescent="0.55000000000000004">
      <c r="A26" s="1">
        <v>2025</v>
      </c>
      <c r="B26" s="43">
        <f t="shared" si="12"/>
        <v>4504.2449187450911</v>
      </c>
      <c r="C26" s="43">
        <f t="shared" si="13"/>
        <v>2864.1122581150853</v>
      </c>
      <c r="D26" s="43">
        <f t="shared" si="14"/>
        <v>2766.1938903162786</v>
      </c>
      <c r="E26" s="43">
        <f t="shared" si="15"/>
        <v>2423.479603020457</v>
      </c>
      <c r="F26" s="43">
        <f t="shared" si="16"/>
        <v>2080.7653157246341</v>
      </c>
      <c r="G26" s="43">
        <f t="shared" si="17"/>
        <v>1150.5408216359742</v>
      </c>
      <c r="H26" s="43">
        <f t="shared" si="18"/>
        <v>1077.1020457868697</v>
      </c>
      <c r="I26" s="43">
        <f t="shared" si="19"/>
        <v>905.74490213895842</v>
      </c>
      <c r="J26" s="43">
        <f t="shared" si="20"/>
        <v>783.34694239045075</v>
      </c>
      <c r="K26" s="43">
        <f t="shared" si="21"/>
        <v>611.98979874253962</v>
      </c>
      <c r="L26" s="43">
        <f t="shared" si="22"/>
        <v>563.03061484313639</v>
      </c>
      <c r="M26" s="43">
        <f t="shared" si="23"/>
        <v>465.11224704432999</v>
      </c>
      <c r="N26" s="43">
        <f t="shared" si="24"/>
        <v>440.63265509462843</v>
      </c>
      <c r="O26" s="43">
        <f t="shared" si="25"/>
        <v>293.75510339641897</v>
      </c>
      <c r="P26" s="43">
        <f t="shared" si="26"/>
        <v>244.79591949701583</v>
      </c>
      <c r="Q26" s="43">
        <f t="shared" si="27"/>
        <v>97.918367798806344</v>
      </c>
      <c r="R26" s="43">
        <f t="shared" si="28"/>
        <v>73.438775849104744</v>
      </c>
      <c r="S26" s="43">
        <v>21346.204180139779</v>
      </c>
    </row>
    <row r="27" spans="1:19" x14ac:dyDescent="0.55000000000000004">
      <c r="A27" s="23">
        <v>2026</v>
      </c>
      <c r="B27" s="43">
        <f t="shared" si="12"/>
        <v>5701.9363333201436</v>
      </c>
      <c r="C27" s="43">
        <f t="shared" si="13"/>
        <v>3625.6877771655268</v>
      </c>
      <c r="D27" s="43">
        <f t="shared" si="14"/>
        <v>3501.7326394846536</v>
      </c>
      <c r="E27" s="43">
        <f t="shared" si="15"/>
        <v>3067.8896576015995</v>
      </c>
      <c r="F27" s="43">
        <f t="shared" si="16"/>
        <v>2634.046675718545</v>
      </c>
      <c r="G27" s="43">
        <f t="shared" si="17"/>
        <v>1456.4728677502542</v>
      </c>
      <c r="H27" s="43">
        <f t="shared" si="18"/>
        <v>1363.5065144895998</v>
      </c>
      <c r="I27" s="43">
        <f t="shared" si="19"/>
        <v>1146.5850235480723</v>
      </c>
      <c r="J27" s="43">
        <f t="shared" si="20"/>
        <v>991.64110144698168</v>
      </c>
      <c r="K27" s="43">
        <f t="shared" si="21"/>
        <v>774.71961050545428</v>
      </c>
      <c r="L27" s="43">
        <f t="shared" si="22"/>
        <v>712.74204166501795</v>
      </c>
      <c r="M27" s="43">
        <f t="shared" si="23"/>
        <v>588.78690398414528</v>
      </c>
      <c r="N27" s="43">
        <f t="shared" si="24"/>
        <v>557.79811956392712</v>
      </c>
      <c r="O27" s="43">
        <f t="shared" si="25"/>
        <v>371.86541304261812</v>
      </c>
      <c r="P27" s="43">
        <f t="shared" si="26"/>
        <v>309.88784420218172</v>
      </c>
      <c r="Q27" s="43">
        <f t="shared" si="27"/>
        <v>123.95513768087271</v>
      </c>
      <c r="R27" s="43">
        <f t="shared" si="28"/>
        <v>92.966353260654529</v>
      </c>
      <c r="S27" s="43">
        <v>27022.220014430248</v>
      </c>
    </row>
    <row r="28" spans="1:19" x14ac:dyDescent="0.55000000000000004">
      <c r="A28" s="1">
        <v>2027</v>
      </c>
      <c r="B28" s="43">
        <f t="shared" si="12"/>
        <v>6982.3521332543414</v>
      </c>
      <c r="C28" s="43">
        <f t="shared" si="13"/>
        <v>4439.8652151671631</v>
      </c>
      <c r="D28" s="43">
        <f t="shared" si="14"/>
        <v>4288.0749514007648</v>
      </c>
      <c r="E28" s="43">
        <f t="shared" si="15"/>
        <v>3756.8090282183689</v>
      </c>
      <c r="F28" s="43">
        <f t="shared" si="16"/>
        <v>3225.543105035973</v>
      </c>
      <c r="G28" s="43">
        <f t="shared" si="17"/>
        <v>1783.5355992551852</v>
      </c>
      <c r="H28" s="43">
        <f t="shared" si="18"/>
        <v>1669.6929014303862</v>
      </c>
      <c r="I28" s="43">
        <f t="shared" si="19"/>
        <v>1404.0599398391882</v>
      </c>
      <c r="J28" s="43">
        <f t="shared" si="20"/>
        <v>1214.3221101311899</v>
      </c>
      <c r="K28" s="43">
        <f t="shared" si="21"/>
        <v>948.68914853999217</v>
      </c>
      <c r="L28" s="43">
        <f t="shared" si="22"/>
        <v>872.79401665679268</v>
      </c>
      <c r="M28" s="43">
        <f t="shared" si="23"/>
        <v>721.00375289039391</v>
      </c>
      <c r="N28" s="43">
        <f t="shared" si="24"/>
        <v>683.05618694879422</v>
      </c>
      <c r="O28" s="43">
        <f t="shared" si="25"/>
        <v>455.37079129919618</v>
      </c>
      <c r="P28" s="43">
        <f t="shared" si="26"/>
        <v>379.47565941599686</v>
      </c>
      <c r="Q28" s="43">
        <f t="shared" si="27"/>
        <v>151.79026376639874</v>
      </c>
      <c r="R28" s="43">
        <f t="shared" si="28"/>
        <v>113.84269782479905</v>
      </c>
      <c r="S28" s="43">
        <v>33090.277501074925</v>
      </c>
    </row>
    <row r="29" spans="1:19" x14ac:dyDescent="0.55000000000000004">
      <c r="A29" s="23">
        <v>2028</v>
      </c>
      <c r="B29" s="43">
        <f t="shared" si="12"/>
        <v>8334.3860587855888</v>
      </c>
      <c r="C29" s="43">
        <f t="shared" si="13"/>
        <v>5299.5824395538812</v>
      </c>
      <c r="D29" s="43">
        <f t="shared" si="14"/>
        <v>5118.4001339281067</v>
      </c>
      <c r="E29" s="43">
        <f t="shared" si="15"/>
        <v>4484.2620642378988</v>
      </c>
      <c r="F29" s="43">
        <f t="shared" si="16"/>
        <v>3850.1239945476909</v>
      </c>
      <c r="G29" s="43">
        <f t="shared" si="17"/>
        <v>2128.8920911028408</v>
      </c>
      <c r="H29" s="43">
        <f t="shared" si="18"/>
        <v>1993.0053618835109</v>
      </c>
      <c r="I29" s="43">
        <f t="shared" si="19"/>
        <v>1675.9363270384065</v>
      </c>
      <c r="J29" s="43">
        <f t="shared" si="20"/>
        <v>1449.4584450061895</v>
      </c>
      <c r="K29" s="43">
        <f t="shared" si="21"/>
        <v>1132.3894101610856</v>
      </c>
      <c r="L29" s="43">
        <f t="shared" si="22"/>
        <v>1041.7982573481986</v>
      </c>
      <c r="M29" s="43">
        <f t="shared" si="23"/>
        <v>860.61595172242494</v>
      </c>
      <c r="N29" s="43">
        <f t="shared" si="24"/>
        <v>815.32037531598155</v>
      </c>
      <c r="O29" s="43">
        <f t="shared" si="25"/>
        <v>543.54691687732111</v>
      </c>
      <c r="P29" s="43">
        <f t="shared" si="26"/>
        <v>452.95576406443428</v>
      </c>
      <c r="Q29" s="43">
        <f t="shared" si="27"/>
        <v>181.18230562577369</v>
      </c>
      <c r="R29" s="43">
        <f t="shared" si="28"/>
        <v>135.88672921933028</v>
      </c>
      <c r="S29" s="43">
        <v>39497.742626418665</v>
      </c>
    </row>
    <row r="30" spans="1:19" x14ac:dyDescent="0.55000000000000004">
      <c r="A30" s="1">
        <v>2029</v>
      </c>
      <c r="B30" s="43">
        <f t="shared" si="12"/>
        <v>9749.8404758973084</v>
      </c>
      <c r="C30" s="43">
        <f t="shared" si="13"/>
        <v>6199.6268243477462</v>
      </c>
      <c r="D30" s="43">
        <f t="shared" si="14"/>
        <v>5987.6737705238911</v>
      </c>
      <c r="E30" s="43">
        <f t="shared" si="15"/>
        <v>5245.8380821403998</v>
      </c>
      <c r="F30" s="43">
        <f t="shared" si="16"/>
        <v>4504.0023937569085</v>
      </c>
      <c r="G30" s="43">
        <f t="shared" si="17"/>
        <v>2490.4483824302906</v>
      </c>
      <c r="H30" s="43">
        <f t="shared" si="18"/>
        <v>2331.4835920624</v>
      </c>
      <c r="I30" s="43">
        <f t="shared" si="19"/>
        <v>1960.5657478706544</v>
      </c>
      <c r="J30" s="43">
        <f t="shared" si="20"/>
        <v>1695.6244305908363</v>
      </c>
      <c r="K30" s="43">
        <f t="shared" si="21"/>
        <v>1324.7065863990908</v>
      </c>
      <c r="L30" s="43">
        <f t="shared" si="22"/>
        <v>1218.7300594871635</v>
      </c>
      <c r="M30" s="43">
        <f t="shared" si="23"/>
        <v>1006.777005663309</v>
      </c>
      <c r="N30" s="43">
        <f t="shared" si="24"/>
        <v>953.78874220734531</v>
      </c>
      <c r="O30" s="43">
        <f t="shared" si="25"/>
        <v>635.85916147156354</v>
      </c>
      <c r="P30" s="43">
        <f t="shared" si="26"/>
        <v>529.88263455963636</v>
      </c>
      <c r="Q30" s="43">
        <f t="shared" si="27"/>
        <v>211.95305382385453</v>
      </c>
      <c r="R30" s="43">
        <f t="shared" si="28"/>
        <v>158.96479036789088</v>
      </c>
      <c r="S30" s="43">
        <v>46205.765733600289</v>
      </c>
    </row>
    <row r="31" spans="1:19" x14ac:dyDescent="0.55000000000000004">
      <c r="A31" s="23">
        <v>2030</v>
      </c>
      <c r="B31" s="43">
        <f t="shared" si="12"/>
        <v>11222.530231734419</v>
      </c>
      <c r="C31" s="43">
        <f t="shared" si="13"/>
        <v>7136.0654190919959</v>
      </c>
      <c r="D31" s="43">
        <f t="shared" si="14"/>
        <v>6892.0973705760298</v>
      </c>
      <c r="E31" s="43">
        <f t="shared" si="15"/>
        <v>6038.2092007701503</v>
      </c>
      <c r="F31" s="43">
        <f t="shared" si="16"/>
        <v>5184.32103096427</v>
      </c>
      <c r="G31" s="43">
        <f t="shared" si="17"/>
        <v>2866.6245700625959</v>
      </c>
      <c r="H31" s="43">
        <f t="shared" si="18"/>
        <v>2683.6485336756223</v>
      </c>
      <c r="I31" s="43">
        <f t="shared" si="19"/>
        <v>2256.7044487726821</v>
      </c>
      <c r="J31" s="43">
        <f t="shared" si="20"/>
        <v>1951.7443881277252</v>
      </c>
      <c r="K31" s="43">
        <f t="shared" si="21"/>
        <v>1524.8003032247852</v>
      </c>
      <c r="L31" s="43">
        <f t="shared" si="22"/>
        <v>1402.8162789668024</v>
      </c>
      <c r="M31" s="43">
        <f t="shared" si="23"/>
        <v>1158.8482304508368</v>
      </c>
      <c r="N31" s="43">
        <f t="shared" si="24"/>
        <v>1097.8562183218453</v>
      </c>
      <c r="O31" s="43">
        <f t="shared" si="25"/>
        <v>731.90414554789686</v>
      </c>
      <c r="P31" s="43">
        <f t="shared" si="26"/>
        <v>609.92012128991405</v>
      </c>
      <c r="Q31" s="43">
        <f t="shared" si="27"/>
        <v>243.96804851596565</v>
      </c>
      <c r="R31" s="43">
        <f t="shared" si="28"/>
        <v>182.97603638697422</v>
      </c>
      <c r="S31" s="43">
        <v>53185.03457648051</v>
      </c>
    </row>
    <row r="32" spans="1:19" x14ac:dyDescent="0.55000000000000004">
      <c r="A32" s="1">
        <v>2031</v>
      </c>
      <c r="B32" s="43">
        <f t="shared" si="12"/>
        <v>12747.679074786627</v>
      </c>
      <c r="C32" s="43">
        <f t="shared" si="13"/>
        <v>8105.8611508154099</v>
      </c>
      <c r="D32" s="43">
        <f t="shared" si="14"/>
        <v>7828.7376926678744</v>
      </c>
      <c r="E32" s="43">
        <f t="shared" si="15"/>
        <v>6858.8055891515014</v>
      </c>
      <c r="F32" s="43">
        <f t="shared" si="16"/>
        <v>5888.8734856351266</v>
      </c>
      <c r="G32" s="43">
        <f t="shared" si="17"/>
        <v>3256.2006332335404</v>
      </c>
      <c r="H32" s="43">
        <f t="shared" si="18"/>
        <v>3048.3580396228895</v>
      </c>
      <c r="I32" s="43">
        <f t="shared" si="19"/>
        <v>2563.3919878647021</v>
      </c>
      <c r="J32" s="43">
        <f t="shared" si="20"/>
        <v>2216.9876651802829</v>
      </c>
      <c r="K32" s="43">
        <f t="shared" si="21"/>
        <v>1732.0216134220962</v>
      </c>
      <c r="L32" s="43">
        <f t="shared" si="22"/>
        <v>1593.4598843483284</v>
      </c>
      <c r="M32" s="43">
        <f t="shared" si="23"/>
        <v>1316.3364262007931</v>
      </c>
      <c r="N32" s="43">
        <f t="shared" si="24"/>
        <v>1247.055561663909</v>
      </c>
      <c r="O32" s="43">
        <f t="shared" si="25"/>
        <v>831.37037444260613</v>
      </c>
      <c r="P32" s="43">
        <f t="shared" si="26"/>
        <v>692.80864536883848</v>
      </c>
      <c r="Q32" s="43">
        <f t="shared" si="27"/>
        <v>277.12345814753536</v>
      </c>
      <c r="R32" s="43">
        <f t="shared" si="28"/>
        <v>207.84259361065153</v>
      </c>
      <c r="S32" s="43">
        <v>60412.913876162711</v>
      </c>
    </row>
    <row r="33" spans="1:19" x14ac:dyDescent="0.55000000000000004">
      <c r="A33" s="23">
        <v>2032</v>
      </c>
      <c r="B33" s="43">
        <f>S33*$B$4/100</f>
        <v>14321.511427975001</v>
      </c>
      <c r="C33" s="43">
        <f>S33*$C$4/100</f>
        <v>9106.6132449623656</v>
      </c>
      <c r="D33" s="43">
        <f t="shared" si="14"/>
        <v>8795.2760400063871</v>
      </c>
      <c r="E33" s="43">
        <f t="shared" si="15"/>
        <v>7705.5958226604635</v>
      </c>
      <c r="F33" s="43">
        <f t="shared" si="16"/>
        <v>6615.915605314538</v>
      </c>
      <c r="G33" s="43">
        <f t="shared" si="17"/>
        <v>3658.212158232745</v>
      </c>
      <c r="H33" s="43">
        <f t="shared" si="18"/>
        <v>3424.7092545157611</v>
      </c>
      <c r="I33" s="43">
        <f t="shared" si="19"/>
        <v>2879.8691458427993</v>
      </c>
      <c r="J33" s="43">
        <f t="shared" si="20"/>
        <v>2490.6976396478262</v>
      </c>
      <c r="K33" s="43">
        <f t="shared" si="21"/>
        <v>1945.8575309748644</v>
      </c>
      <c r="L33" s="43">
        <f t="shared" si="22"/>
        <v>1790.1889284968752</v>
      </c>
      <c r="M33" s="43">
        <f t="shared" si="23"/>
        <v>1478.8517235408967</v>
      </c>
      <c r="N33" s="43">
        <f t="shared" si="24"/>
        <v>1401.0174223019023</v>
      </c>
      <c r="O33" s="43">
        <f t="shared" si="25"/>
        <v>934.0116148679349</v>
      </c>
      <c r="P33" s="43">
        <f t="shared" si="26"/>
        <v>778.34301238994578</v>
      </c>
      <c r="Q33" s="43">
        <f t="shared" si="27"/>
        <v>311.33720495597828</v>
      </c>
      <c r="R33" s="43">
        <f>S33*$R$4/100</f>
        <v>233.50290371698372</v>
      </c>
      <c r="S33" s="43">
        <v>67871.510680403269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CDE7-9C67-4725-9836-2112DAD2AF4F}">
  <dimension ref="A1:S61"/>
  <sheetViews>
    <sheetView topLeftCell="A7" zoomScale="85" zoomScaleNormal="85" workbookViewId="0">
      <selection activeCell="S37" sqref="S37"/>
    </sheetView>
  </sheetViews>
  <sheetFormatPr defaultRowHeight="14.4" x14ac:dyDescent="0.55000000000000004"/>
  <cols>
    <col min="2" max="2" width="9.15625" bestFit="1" customWidth="1"/>
    <col min="3" max="18" width="8.89453125" bestFit="1" customWidth="1"/>
  </cols>
  <sheetData>
    <row r="1" spans="1:19" ht="39" x14ac:dyDescent="0.55000000000000004">
      <c r="B1" s="40" t="s">
        <v>112</v>
      </c>
      <c r="C1" s="40" t="s">
        <v>113</v>
      </c>
      <c r="D1" s="40" t="s">
        <v>114</v>
      </c>
      <c r="E1" s="40" t="s">
        <v>115</v>
      </c>
      <c r="F1" s="40" t="s">
        <v>116</v>
      </c>
      <c r="G1" s="40" t="s">
        <v>117</v>
      </c>
      <c r="H1" s="40" t="s">
        <v>118</v>
      </c>
      <c r="I1" s="40" t="s">
        <v>119</v>
      </c>
      <c r="J1" s="40" t="s">
        <v>120</v>
      </c>
      <c r="K1" s="40" t="s">
        <v>121</v>
      </c>
      <c r="L1" s="40" t="s">
        <v>122</v>
      </c>
      <c r="M1" s="40" t="s">
        <v>123</v>
      </c>
      <c r="N1" s="40" t="s">
        <v>124</v>
      </c>
      <c r="O1" s="40" t="s">
        <v>125</v>
      </c>
      <c r="P1" s="40" t="s">
        <v>126</v>
      </c>
      <c r="Q1" s="40" t="s">
        <v>127</v>
      </c>
      <c r="R1" s="40" t="s">
        <v>128</v>
      </c>
    </row>
    <row r="2" spans="1:19" x14ac:dyDescent="0.55000000000000004">
      <c r="B2" s="34">
        <v>184</v>
      </c>
      <c r="C2" s="34">
        <v>117</v>
      </c>
      <c r="D2" s="34">
        <v>113</v>
      </c>
      <c r="E2" s="34">
        <v>99</v>
      </c>
      <c r="F2" s="34">
        <v>85</v>
      </c>
      <c r="G2" s="34">
        <v>47</v>
      </c>
      <c r="H2" s="34">
        <v>44</v>
      </c>
      <c r="I2" s="34">
        <v>37</v>
      </c>
      <c r="J2" s="34">
        <v>32</v>
      </c>
      <c r="K2" s="34">
        <v>25</v>
      </c>
      <c r="L2" s="34">
        <v>23</v>
      </c>
      <c r="M2" s="34">
        <v>19</v>
      </c>
      <c r="N2" s="34">
        <v>18</v>
      </c>
      <c r="O2" s="34">
        <v>12</v>
      </c>
      <c r="P2" s="34">
        <v>10</v>
      </c>
      <c r="Q2" s="34">
        <v>4</v>
      </c>
      <c r="R2" s="34">
        <v>3</v>
      </c>
      <c r="S2">
        <f>SUM(B2:R2)</f>
        <v>872</v>
      </c>
    </row>
    <row r="3" spans="1:19" x14ac:dyDescent="0.55000000000000004">
      <c r="B3">
        <f>B2/S2</f>
        <v>0.21100917431192662</v>
      </c>
      <c r="R3">
        <f>R2/S2</f>
        <v>3.4403669724770644E-3</v>
      </c>
    </row>
    <row r="4" spans="1:19" ht="28.8" x14ac:dyDescent="0.55000000000000004">
      <c r="A4" s="38" t="s">
        <v>129</v>
      </c>
      <c r="B4" s="39">
        <v>21.100917431192659</v>
      </c>
      <c r="C4" s="39">
        <v>13.417431192660551</v>
      </c>
      <c r="D4" s="39">
        <v>12.958715596330276</v>
      </c>
      <c r="E4" s="39">
        <v>11.353211009174313</v>
      </c>
      <c r="F4" s="39">
        <v>9.7477064220183482</v>
      </c>
      <c r="G4" s="39">
        <v>5.3899082568807337</v>
      </c>
      <c r="H4" s="39">
        <v>5.0458715596330279</v>
      </c>
      <c r="I4" s="39">
        <v>4.2431192660550456</v>
      </c>
      <c r="J4" s="39">
        <v>3.669724770642202</v>
      </c>
      <c r="K4" s="39">
        <v>2.8669724770642202</v>
      </c>
      <c r="L4" s="39">
        <v>2.6376146788990824</v>
      </c>
      <c r="M4" s="39">
        <v>2.1788990825688073</v>
      </c>
      <c r="N4" s="39">
        <v>2.0642201834862384</v>
      </c>
      <c r="O4" s="39">
        <v>1.3761467889908257</v>
      </c>
      <c r="P4" s="39">
        <v>1.1467889908256881</v>
      </c>
      <c r="Q4" s="39">
        <v>0.45871559633027525</v>
      </c>
      <c r="R4" s="39">
        <v>0.34403669724770641</v>
      </c>
    </row>
    <row r="7" spans="1:19" ht="18.3" x14ac:dyDescent="0.7">
      <c r="A7" s="45" t="s">
        <v>133</v>
      </c>
    </row>
    <row r="8" spans="1:19" x14ac:dyDescent="0.55000000000000004">
      <c r="A8" s="35" t="s">
        <v>101</v>
      </c>
      <c r="B8" s="35" t="s">
        <v>112</v>
      </c>
      <c r="C8" s="35" t="s">
        <v>113</v>
      </c>
      <c r="D8" s="35" t="s">
        <v>114</v>
      </c>
      <c r="E8" s="35" t="s">
        <v>115</v>
      </c>
      <c r="F8" s="35" t="s">
        <v>116</v>
      </c>
      <c r="G8" s="35" t="s">
        <v>117</v>
      </c>
      <c r="H8" s="35" t="s">
        <v>118</v>
      </c>
      <c r="I8" s="35" t="s">
        <v>119</v>
      </c>
      <c r="J8" s="35" t="s">
        <v>120</v>
      </c>
      <c r="K8" s="35" t="s">
        <v>121</v>
      </c>
      <c r="L8" s="35" t="s">
        <v>122</v>
      </c>
      <c r="M8" s="35" t="s">
        <v>123</v>
      </c>
      <c r="N8" s="35" t="s">
        <v>124</v>
      </c>
      <c r="O8" s="35" t="s">
        <v>125</v>
      </c>
      <c r="P8" s="35" t="s">
        <v>126</v>
      </c>
      <c r="Q8" s="35" t="s">
        <v>127</v>
      </c>
      <c r="R8" s="35" t="s">
        <v>128</v>
      </c>
    </row>
    <row r="9" spans="1:19" x14ac:dyDescent="0.55000000000000004">
      <c r="A9" s="23">
        <v>2022</v>
      </c>
      <c r="B9" s="43">
        <f>S9*$B$4/100</f>
        <v>592.84536154128432</v>
      </c>
      <c r="C9" s="43">
        <f>S9*$C$4/100</f>
        <v>376.97232228440373</v>
      </c>
      <c r="D9" s="43">
        <f>S9*$D$4/100</f>
        <v>364.08437964220184</v>
      </c>
      <c r="E9" s="43">
        <f>S9*$E$4/100</f>
        <v>318.97658039449544</v>
      </c>
      <c r="F9" s="43">
        <f>S9*$F$4/100</f>
        <v>273.86878114678899</v>
      </c>
      <c r="G9" s="43">
        <f>S9*$G$4/100</f>
        <v>151.43332604587155</v>
      </c>
      <c r="H9" s="43">
        <f>S9*$H$4/100</f>
        <v>141.76736906422019</v>
      </c>
      <c r="I9" s="43">
        <f>S9*$I$4/100</f>
        <v>119.21346944036696</v>
      </c>
      <c r="J9" s="43">
        <f>S9*$J$4/100</f>
        <v>103.10354113761468</v>
      </c>
      <c r="K9" s="43">
        <f>S9*$K$4/100</f>
        <v>80.549641513761472</v>
      </c>
      <c r="L9" s="43">
        <f>S9*$L$4/100</f>
        <v>74.10567019266054</v>
      </c>
      <c r="M9" s="43">
        <f>S9*$M$4/100</f>
        <v>61.217727550458712</v>
      </c>
      <c r="N9" s="43">
        <f>S9*$N$4/100</f>
        <v>57.995741889908253</v>
      </c>
      <c r="O9" s="43">
        <f>S9*$O$4/100</f>
        <v>38.663827926605506</v>
      </c>
      <c r="P9" s="43">
        <f>S9*$P$4/100</f>
        <v>32.219856605504589</v>
      </c>
      <c r="Q9" s="43">
        <f>S9*$Q$4/100</f>
        <v>12.887942642201835</v>
      </c>
      <c r="R9" s="43">
        <f>S9*$R$4/100</f>
        <v>9.6659569816513766</v>
      </c>
      <c r="S9" s="43">
        <v>2809.571496</v>
      </c>
    </row>
    <row r="10" spans="1:19" x14ac:dyDescent="0.55000000000000004">
      <c r="A10" s="1">
        <v>2023</v>
      </c>
      <c r="B10" s="43">
        <f t="shared" ref="B10:B18" si="0">S10*$B$4/100</f>
        <v>742.37345108257</v>
      </c>
      <c r="C10" s="43">
        <f t="shared" ref="C10:C18" si="1">S10*$C$4/100</f>
        <v>472.05268356880805</v>
      </c>
      <c r="D10" s="43">
        <f t="shared" ref="D10:D19" si="2">S10*$D$4/100</f>
        <v>455.91413028440439</v>
      </c>
      <c r="E10" s="43">
        <f t="shared" ref="E10:E19" si="3">S10*$E$4/100</f>
        <v>399.42919378899148</v>
      </c>
      <c r="F10" s="43">
        <f t="shared" ref="F10:F19" si="4">S10*$F$4/100</f>
        <v>342.94425729357846</v>
      </c>
      <c r="G10" s="43">
        <f t="shared" ref="G10:G19" si="5">S10*$G$4/100</f>
        <v>189.62800109174339</v>
      </c>
      <c r="H10" s="43">
        <f t="shared" ref="H10:H19" si="6">S10*$H$4/100</f>
        <v>177.52408612844064</v>
      </c>
      <c r="I10" s="43">
        <f t="shared" ref="I10:I19" si="7">S10*$I$4/100</f>
        <v>149.28161788073419</v>
      </c>
      <c r="J10" s="43">
        <f t="shared" ref="J10:J19" si="8">S10*$J$4/100</f>
        <v>129.10842627522956</v>
      </c>
      <c r="K10" s="43">
        <f t="shared" ref="K10:K19" si="9">S10*$K$4/100</f>
        <v>100.86595802752308</v>
      </c>
      <c r="L10" s="43">
        <f t="shared" ref="L10:L19" si="10">S10*$L$4/100</f>
        <v>92.79668138532125</v>
      </c>
      <c r="M10" s="43">
        <f t="shared" ref="M10:M19" si="11">S10*$M$4/100</f>
        <v>76.658128100917551</v>
      </c>
      <c r="N10" s="43">
        <f t="shared" ref="N10:N19" si="12">S10*$N$4/100</f>
        <v>72.623489779816623</v>
      </c>
      <c r="O10" s="43">
        <f t="shared" ref="O10:O19" si="13">S10*$O$4/100</f>
        <v>48.415659853211082</v>
      </c>
      <c r="P10" s="43">
        <f t="shared" ref="P10:P19" si="14">S10*$P$4/100</f>
        <v>40.34638321100924</v>
      </c>
      <c r="Q10" s="43">
        <f t="shared" ref="Q10:Q19" si="15">S10*$Q$4/100</f>
        <v>16.138553284403695</v>
      </c>
      <c r="R10" s="43">
        <f t="shared" ref="R10:R19" si="16">S10*$R$4/100</f>
        <v>12.103914963302771</v>
      </c>
      <c r="S10" s="43">
        <v>3518.2046160000054</v>
      </c>
    </row>
    <row r="11" spans="1:19" x14ac:dyDescent="0.55000000000000004">
      <c r="A11" s="23">
        <v>2024</v>
      </c>
      <c r="B11" s="43">
        <f t="shared" si="0"/>
        <v>891.90154062385454</v>
      </c>
      <c r="C11" s="43">
        <f t="shared" si="1"/>
        <v>567.13304485321203</v>
      </c>
      <c r="D11" s="43">
        <f t="shared" si="2"/>
        <v>547.74388092660638</v>
      </c>
      <c r="E11" s="43">
        <f t="shared" si="3"/>
        <v>479.88180718348701</v>
      </c>
      <c r="F11" s="43">
        <f t="shared" si="4"/>
        <v>412.01973344036765</v>
      </c>
      <c r="G11" s="43">
        <f t="shared" si="5"/>
        <v>227.82267613761502</v>
      </c>
      <c r="H11" s="43">
        <f t="shared" si="6"/>
        <v>213.2808031926609</v>
      </c>
      <c r="I11" s="43">
        <f t="shared" si="7"/>
        <v>179.34976632110119</v>
      </c>
      <c r="J11" s="43">
        <f t="shared" si="8"/>
        <v>155.1133114128443</v>
      </c>
      <c r="K11" s="43">
        <f t="shared" si="9"/>
        <v>121.1822745412846</v>
      </c>
      <c r="L11" s="43">
        <f t="shared" si="10"/>
        <v>111.48769257798182</v>
      </c>
      <c r="M11" s="43">
        <f t="shared" si="11"/>
        <v>92.098528651376284</v>
      </c>
      <c r="N11" s="43">
        <f t="shared" si="12"/>
        <v>87.251237669724901</v>
      </c>
      <c r="O11" s="43">
        <f t="shared" si="13"/>
        <v>58.167491779816608</v>
      </c>
      <c r="P11" s="43">
        <f t="shared" si="14"/>
        <v>48.472909816513841</v>
      </c>
      <c r="Q11" s="43">
        <f t="shared" si="15"/>
        <v>19.389163926605537</v>
      </c>
      <c r="R11" s="43">
        <f t="shared" si="16"/>
        <v>14.541872944954152</v>
      </c>
      <c r="S11" s="43">
        <v>4226.8377360000068</v>
      </c>
    </row>
    <row r="12" spans="1:19" x14ac:dyDescent="0.55000000000000004">
      <c r="A12" s="1">
        <v>2025</v>
      </c>
      <c r="B12" s="43">
        <f t="shared" si="0"/>
        <v>1041.4296301651402</v>
      </c>
      <c r="C12" s="43">
        <f t="shared" si="1"/>
        <v>662.2134061376164</v>
      </c>
      <c r="D12" s="43">
        <f t="shared" si="2"/>
        <v>639.57363156880899</v>
      </c>
      <c r="E12" s="43">
        <f t="shared" si="3"/>
        <v>560.33442057798311</v>
      </c>
      <c r="F12" s="43">
        <f t="shared" si="4"/>
        <v>481.09520958715717</v>
      </c>
      <c r="G12" s="43">
        <f t="shared" si="5"/>
        <v>266.01735118348688</v>
      </c>
      <c r="H12" s="43">
        <f t="shared" si="6"/>
        <v>249.03752025688141</v>
      </c>
      <c r="I12" s="43">
        <f t="shared" si="7"/>
        <v>209.41791476146841</v>
      </c>
      <c r="J12" s="43">
        <f t="shared" si="8"/>
        <v>181.11819655045917</v>
      </c>
      <c r="K12" s="43">
        <f t="shared" si="9"/>
        <v>141.49859105504623</v>
      </c>
      <c r="L12" s="43">
        <f t="shared" si="10"/>
        <v>130.17870377064253</v>
      </c>
      <c r="M12" s="43">
        <f t="shared" si="11"/>
        <v>107.53892920183513</v>
      </c>
      <c r="N12" s="43">
        <f t="shared" si="12"/>
        <v>101.87898555963328</v>
      </c>
      <c r="O12" s="43">
        <f t="shared" si="13"/>
        <v>67.91932370642219</v>
      </c>
      <c r="P12" s="43">
        <f t="shared" si="14"/>
        <v>56.599436422018499</v>
      </c>
      <c r="Q12" s="43">
        <f t="shared" si="15"/>
        <v>22.639774568807397</v>
      </c>
      <c r="R12" s="43">
        <f t="shared" si="16"/>
        <v>16.979830926605548</v>
      </c>
      <c r="S12" s="43">
        <v>4935.4708560000126</v>
      </c>
    </row>
    <row r="13" spans="1:19" x14ac:dyDescent="0.55000000000000004">
      <c r="A13" s="23">
        <v>2026</v>
      </c>
      <c r="B13" s="43">
        <f t="shared" si="0"/>
        <v>1190.9577197064248</v>
      </c>
      <c r="C13" s="43">
        <f t="shared" si="1"/>
        <v>757.29376742202021</v>
      </c>
      <c r="D13" s="43">
        <f t="shared" si="2"/>
        <v>731.40338221101092</v>
      </c>
      <c r="E13" s="43">
        <f t="shared" si="3"/>
        <v>640.78703397247864</v>
      </c>
      <c r="F13" s="43">
        <f t="shared" si="4"/>
        <v>550.17068573394624</v>
      </c>
      <c r="G13" s="43">
        <f t="shared" si="5"/>
        <v>304.21202622935851</v>
      </c>
      <c r="H13" s="43">
        <f t="shared" si="6"/>
        <v>284.7942373211016</v>
      </c>
      <c r="I13" s="43">
        <f t="shared" si="7"/>
        <v>239.48606320183538</v>
      </c>
      <c r="J13" s="43">
        <f t="shared" si="8"/>
        <v>207.12308168807388</v>
      </c>
      <c r="K13" s="43">
        <f t="shared" si="9"/>
        <v>161.81490756880771</v>
      </c>
      <c r="L13" s="43">
        <f t="shared" si="10"/>
        <v>148.8697149633031</v>
      </c>
      <c r="M13" s="43">
        <f t="shared" si="11"/>
        <v>122.97932975229385</v>
      </c>
      <c r="N13" s="43">
        <f t="shared" si="12"/>
        <v>116.50673344954156</v>
      </c>
      <c r="O13" s="43">
        <f t="shared" si="13"/>
        <v>77.671155633027695</v>
      </c>
      <c r="P13" s="43">
        <f t="shared" si="14"/>
        <v>64.725963027523079</v>
      </c>
      <c r="Q13" s="43">
        <f t="shared" si="15"/>
        <v>25.890385211009235</v>
      </c>
      <c r="R13" s="43">
        <f t="shared" si="16"/>
        <v>19.417788908256924</v>
      </c>
      <c r="S13" s="43">
        <v>5644.1039760000131</v>
      </c>
    </row>
    <row r="14" spans="1:19" x14ac:dyDescent="0.55000000000000004">
      <c r="A14" s="1">
        <v>2027</v>
      </c>
      <c r="B14" s="43">
        <f t="shared" si="0"/>
        <v>1340.4858092477102</v>
      </c>
      <c r="C14" s="43">
        <f t="shared" si="1"/>
        <v>852.3741287064247</v>
      </c>
      <c r="D14" s="43">
        <f t="shared" si="2"/>
        <v>823.23313285321342</v>
      </c>
      <c r="E14" s="43">
        <f t="shared" si="3"/>
        <v>721.23964736697462</v>
      </c>
      <c r="F14" s="43">
        <f t="shared" si="4"/>
        <v>619.24616188073571</v>
      </c>
      <c r="G14" s="43">
        <f t="shared" si="5"/>
        <v>342.40670127523038</v>
      </c>
      <c r="H14" s="43">
        <f t="shared" si="6"/>
        <v>320.55095438532209</v>
      </c>
      <c r="I14" s="43">
        <f t="shared" si="7"/>
        <v>269.55421164220263</v>
      </c>
      <c r="J14" s="43">
        <f t="shared" si="8"/>
        <v>233.12796682568879</v>
      </c>
      <c r="K14" s="43">
        <f t="shared" si="9"/>
        <v>182.13122408256936</v>
      </c>
      <c r="L14" s="43">
        <f t="shared" si="10"/>
        <v>167.56072615596378</v>
      </c>
      <c r="M14" s="43">
        <f t="shared" si="11"/>
        <v>138.4197303027527</v>
      </c>
      <c r="N14" s="43">
        <f t="shared" si="12"/>
        <v>131.13448133944993</v>
      </c>
      <c r="O14" s="43">
        <f t="shared" si="13"/>
        <v>87.422987559633299</v>
      </c>
      <c r="P14" s="43">
        <f t="shared" si="14"/>
        <v>72.852489633027744</v>
      </c>
      <c r="Q14" s="43">
        <f t="shared" si="15"/>
        <v>29.140995853211098</v>
      </c>
      <c r="R14" s="43">
        <f t="shared" si="16"/>
        <v>21.855746889908325</v>
      </c>
      <c r="S14" s="43">
        <v>6352.7370960000189</v>
      </c>
    </row>
    <row r="15" spans="1:19" x14ac:dyDescent="0.55000000000000004">
      <c r="A15" s="23">
        <v>2028</v>
      </c>
      <c r="B15" s="43">
        <f t="shared" si="0"/>
        <v>1490.0138987889907</v>
      </c>
      <c r="C15" s="43">
        <f t="shared" si="1"/>
        <v>947.45448999082566</v>
      </c>
      <c r="D15" s="43">
        <f t="shared" si="2"/>
        <v>915.06288349541285</v>
      </c>
      <c r="E15" s="43">
        <f t="shared" si="3"/>
        <v>801.69226076146788</v>
      </c>
      <c r="F15" s="43">
        <f t="shared" si="4"/>
        <v>688.32163802752291</v>
      </c>
      <c r="G15" s="43">
        <f t="shared" si="5"/>
        <v>380.60137632110082</v>
      </c>
      <c r="H15" s="43">
        <f t="shared" si="6"/>
        <v>356.30767144954132</v>
      </c>
      <c r="I15" s="43">
        <f t="shared" si="7"/>
        <v>299.62236008256878</v>
      </c>
      <c r="J15" s="43">
        <f t="shared" si="8"/>
        <v>259.13285196330276</v>
      </c>
      <c r="K15" s="43">
        <f t="shared" si="9"/>
        <v>202.44754059633024</v>
      </c>
      <c r="L15" s="43">
        <f t="shared" si="10"/>
        <v>186.25173734862383</v>
      </c>
      <c r="M15" s="43">
        <f t="shared" si="11"/>
        <v>153.86013085321099</v>
      </c>
      <c r="N15" s="43">
        <f t="shared" si="12"/>
        <v>145.76222922935779</v>
      </c>
      <c r="O15" s="43">
        <f t="shared" si="13"/>
        <v>97.174819486238519</v>
      </c>
      <c r="P15" s="43">
        <f t="shared" si="14"/>
        <v>80.979016238532097</v>
      </c>
      <c r="Q15" s="43">
        <f t="shared" si="15"/>
        <v>32.391606495412844</v>
      </c>
      <c r="R15" s="43">
        <f t="shared" si="16"/>
        <v>24.29370487155963</v>
      </c>
      <c r="S15" s="43">
        <v>7061.3702159999993</v>
      </c>
    </row>
    <row r="16" spans="1:19" x14ac:dyDescent="0.55000000000000004">
      <c r="A16" s="1">
        <v>2029</v>
      </c>
      <c r="B16" s="43">
        <f t="shared" si="0"/>
        <v>1639.5419883302748</v>
      </c>
      <c r="C16" s="43">
        <f t="shared" si="1"/>
        <v>1042.5348512752294</v>
      </c>
      <c r="D16" s="43">
        <f t="shared" si="2"/>
        <v>1006.8926341376146</v>
      </c>
      <c r="E16" s="43">
        <f t="shared" si="3"/>
        <v>882.14487415596318</v>
      </c>
      <c r="F16" s="43">
        <f t="shared" si="4"/>
        <v>757.3971141743117</v>
      </c>
      <c r="G16" s="43">
        <f t="shared" si="5"/>
        <v>418.79605136697239</v>
      </c>
      <c r="H16" s="43">
        <f t="shared" si="6"/>
        <v>392.06438851376146</v>
      </c>
      <c r="I16" s="43">
        <f t="shared" si="7"/>
        <v>329.69050852293572</v>
      </c>
      <c r="J16" s="43">
        <f t="shared" si="8"/>
        <v>285.13773710091738</v>
      </c>
      <c r="K16" s="43">
        <f t="shared" si="9"/>
        <v>222.76385711009169</v>
      </c>
      <c r="L16" s="43">
        <f t="shared" si="10"/>
        <v>204.94274854128435</v>
      </c>
      <c r="M16" s="43">
        <f t="shared" si="11"/>
        <v>169.30053140366971</v>
      </c>
      <c r="N16" s="43">
        <f t="shared" si="12"/>
        <v>160.38997711926604</v>
      </c>
      <c r="O16" s="43">
        <f t="shared" si="13"/>
        <v>106.92665141284402</v>
      </c>
      <c r="P16" s="43">
        <f t="shared" si="14"/>
        <v>89.105542844036677</v>
      </c>
      <c r="Q16" s="43">
        <f t="shared" si="15"/>
        <v>35.642217137614672</v>
      </c>
      <c r="R16" s="43">
        <f t="shared" si="16"/>
        <v>26.731662853211006</v>
      </c>
      <c r="S16" s="43">
        <v>7770.0033359999989</v>
      </c>
    </row>
    <row r="17" spans="1:19" x14ac:dyDescent="0.55000000000000004">
      <c r="A17" s="23">
        <v>2030</v>
      </c>
      <c r="B17" s="43">
        <f t="shared" si="0"/>
        <v>1789.0700778715729</v>
      </c>
      <c r="C17" s="43">
        <f t="shared" si="1"/>
        <v>1137.6152125596416</v>
      </c>
      <c r="D17" s="43">
        <f t="shared" si="2"/>
        <v>1098.7223847798248</v>
      </c>
      <c r="E17" s="43">
        <f t="shared" si="3"/>
        <v>962.59748755046598</v>
      </c>
      <c r="F17" s="43">
        <f t="shared" si="4"/>
        <v>826.47259032110708</v>
      </c>
      <c r="G17" s="43">
        <f t="shared" si="5"/>
        <v>456.99072641284744</v>
      </c>
      <c r="H17" s="43">
        <f t="shared" si="6"/>
        <v>427.82110557798495</v>
      </c>
      <c r="I17" s="43">
        <f t="shared" si="7"/>
        <v>359.7586569633055</v>
      </c>
      <c r="J17" s="43">
        <f t="shared" si="8"/>
        <v>311.14262223853444</v>
      </c>
      <c r="K17" s="43">
        <f t="shared" si="9"/>
        <v>243.08017362385505</v>
      </c>
      <c r="L17" s="43">
        <f t="shared" si="10"/>
        <v>223.63375973394662</v>
      </c>
      <c r="M17" s="43">
        <f t="shared" si="11"/>
        <v>184.74093195412982</v>
      </c>
      <c r="N17" s="43">
        <f t="shared" si="12"/>
        <v>175.01772500917562</v>
      </c>
      <c r="O17" s="43">
        <f t="shared" si="13"/>
        <v>116.67848333945041</v>
      </c>
      <c r="P17" s="43">
        <f t="shared" si="14"/>
        <v>97.23206944954201</v>
      </c>
      <c r="Q17" s="43">
        <f t="shared" si="15"/>
        <v>38.892827779816805</v>
      </c>
      <c r="R17" s="43">
        <f t="shared" si="16"/>
        <v>29.169620834862602</v>
      </c>
      <c r="S17" s="43">
        <v>8478.6364560000638</v>
      </c>
    </row>
    <row r="18" spans="1:19" x14ac:dyDescent="0.55000000000000004">
      <c r="A18" s="1">
        <v>2031</v>
      </c>
      <c r="B18" s="43">
        <f t="shared" si="0"/>
        <v>1938.5981674128575</v>
      </c>
      <c r="C18" s="43">
        <f t="shared" si="1"/>
        <v>1232.6955738440454</v>
      </c>
      <c r="D18" s="43">
        <f t="shared" si="2"/>
        <v>1190.5521354220268</v>
      </c>
      <c r="E18" s="43">
        <f t="shared" si="3"/>
        <v>1043.0501009449615</v>
      </c>
      <c r="F18" s="43">
        <f t="shared" si="4"/>
        <v>895.54806646789609</v>
      </c>
      <c r="G18" s="43">
        <f t="shared" si="5"/>
        <v>495.18540145871907</v>
      </c>
      <c r="H18" s="43">
        <f t="shared" si="6"/>
        <v>463.57782264220515</v>
      </c>
      <c r="I18" s="43">
        <f t="shared" si="7"/>
        <v>389.82680540367238</v>
      </c>
      <c r="J18" s="43">
        <f t="shared" si="8"/>
        <v>337.14750737614918</v>
      </c>
      <c r="K18" s="43">
        <f t="shared" si="9"/>
        <v>263.39649013761652</v>
      </c>
      <c r="L18" s="43">
        <f t="shared" si="10"/>
        <v>242.32477092660719</v>
      </c>
      <c r="M18" s="43">
        <f t="shared" si="11"/>
        <v>200.18133250458854</v>
      </c>
      <c r="N18" s="43">
        <f t="shared" si="12"/>
        <v>189.64547289908387</v>
      </c>
      <c r="O18" s="43">
        <f t="shared" si="13"/>
        <v>126.43031526605593</v>
      </c>
      <c r="P18" s="43">
        <f t="shared" si="14"/>
        <v>105.3585960550466</v>
      </c>
      <c r="Q18" s="43">
        <f t="shared" si="15"/>
        <v>42.143438422018647</v>
      </c>
      <c r="R18" s="43">
        <f t="shared" si="16"/>
        <v>31.607578816513982</v>
      </c>
      <c r="S18" s="43">
        <v>9187.2695760000643</v>
      </c>
    </row>
    <row r="19" spans="1:19" x14ac:dyDescent="0.55000000000000004">
      <c r="A19" s="23">
        <v>2032</v>
      </c>
      <c r="B19" s="43">
        <f>S19*$B$4/100</f>
        <v>2088.1262569541418</v>
      </c>
      <c r="C19" s="43">
        <f>S19*$C$4/100</f>
        <v>1327.775935128449</v>
      </c>
      <c r="D19" s="43">
        <f t="shared" si="2"/>
        <v>1282.3818860642286</v>
      </c>
      <c r="E19" s="43">
        <f t="shared" si="3"/>
        <v>1123.502714339457</v>
      </c>
      <c r="F19" s="43">
        <f t="shared" si="4"/>
        <v>964.62354261468511</v>
      </c>
      <c r="G19" s="43">
        <f t="shared" si="5"/>
        <v>533.38007650459065</v>
      </c>
      <c r="H19" s="43">
        <f t="shared" si="6"/>
        <v>499.33453970642535</v>
      </c>
      <c r="I19" s="43">
        <f t="shared" si="7"/>
        <v>419.89495384403943</v>
      </c>
      <c r="J19" s="43">
        <f t="shared" si="8"/>
        <v>363.15239251376386</v>
      </c>
      <c r="K19" s="43">
        <f t="shared" si="9"/>
        <v>283.712806651378</v>
      </c>
      <c r="L19" s="43">
        <f t="shared" si="10"/>
        <v>261.01578211926773</v>
      </c>
      <c r="M19" s="43">
        <f t="shared" si="11"/>
        <v>215.62173305504726</v>
      </c>
      <c r="N19" s="43">
        <f t="shared" si="12"/>
        <v>204.27322078899215</v>
      </c>
      <c r="O19" s="43">
        <f t="shared" si="13"/>
        <v>136.18214719266143</v>
      </c>
      <c r="P19" s="43">
        <f t="shared" si="14"/>
        <v>113.48512266055121</v>
      </c>
      <c r="Q19" s="43">
        <f t="shared" si="15"/>
        <v>45.394049064220482</v>
      </c>
      <c r="R19" s="43">
        <f t="shared" si="16"/>
        <v>34.045536798165358</v>
      </c>
      <c r="S19" s="43">
        <v>9895.9026960000647</v>
      </c>
    </row>
    <row r="21" spans="1:19" ht="18.3" x14ac:dyDescent="0.7">
      <c r="A21" s="45" t="s">
        <v>134</v>
      </c>
    </row>
    <row r="22" spans="1:19" x14ac:dyDescent="0.55000000000000004">
      <c r="A22" s="35" t="s">
        <v>101</v>
      </c>
      <c r="B22" s="35" t="s">
        <v>112</v>
      </c>
      <c r="C22" s="35" t="s">
        <v>113</v>
      </c>
      <c r="D22" s="35" t="s">
        <v>114</v>
      </c>
      <c r="E22" s="35" t="s">
        <v>115</v>
      </c>
      <c r="F22" s="35" t="s">
        <v>116</v>
      </c>
      <c r="G22" s="35" t="s">
        <v>117</v>
      </c>
      <c r="H22" s="35" t="s">
        <v>118</v>
      </c>
      <c r="I22" s="35" t="s">
        <v>119</v>
      </c>
      <c r="J22" s="35" t="s">
        <v>120</v>
      </c>
      <c r="K22" s="35" t="s">
        <v>121</v>
      </c>
      <c r="L22" s="35" t="s">
        <v>122</v>
      </c>
      <c r="M22" s="35" t="s">
        <v>123</v>
      </c>
      <c r="N22" s="35" t="s">
        <v>124</v>
      </c>
      <c r="O22" s="35" t="s">
        <v>125</v>
      </c>
      <c r="P22" s="35" t="s">
        <v>126</v>
      </c>
      <c r="Q22" s="35" t="s">
        <v>127</v>
      </c>
      <c r="R22" s="35" t="s">
        <v>128</v>
      </c>
    </row>
    <row r="23" spans="1:19" x14ac:dyDescent="0.55000000000000004">
      <c r="A23" s="23">
        <v>2022</v>
      </c>
      <c r="B23" s="43">
        <f>S23*$B$4/100</f>
        <v>632.49150821007208</v>
      </c>
      <c r="C23" s="43">
        <f>S23*$C$4/100</f>
        <v>402.18210032923065</v>
      </c>
      <c r="D23" s="43">
        <f>S23*$D$4/100</f>
        <v>388.43228493335954</v>
      </c>
      <c r="E23" s="43">
        <f>S23*$E$4/100</f>
        <v>340.30793104781054</v>
      </c>
      <c r="F23" s="43">
        <f>S23*$F$4/100</f>
        <v>292.1835771622616</v>
      </c>
      <c r="G23" s="43">
        <f>S23*$G$4/100</f>
        <v>161.56033090148583</v>
      </c>
      <c r="H23" s="43">
        <f>S23*$H$4/100</f>
        <v>151.24796935458247</v>
      </c>
      <c r="I23" s="43">
        <f>S23*$I$4/100</f>
        <v>127.18579241180798</v>
      </c>
      <c r="J23" s="43">
        <f>S23*$J$4/100</f>
        <v>109.99852316696906</v>
      </c>
      <c r="K23" s="43">
        <f>S23*$K$4/100</f>
        <v>85.93634622419458</v>
      </c>
      <c r="L23" s="43">
        <f>S23*$L$4/100</f>
        <v>79.06143852625901</v>
      </c>
      <c r="M23" s="43">
        <f>S23*$M$4/100</f>
        <v>65.311623130387886</v>
      </c>
      <c r="N23" s="43">
        <f>S23*$N$4/100</f>
        <v>61.874169281420087</v>
      </c>
      <c r="O23" s="43">
        <f>S23*$O$4/100</f>
        <v>41.249446187613394</v>
      </c>
      <c r="P23" s="43">
        <f>S23*$P$4/100</f>
        <v>34.374538489677832</v>
      </c>
      <c r="Q23" s="43">
        <f>S23*$Q$4/100</f>
        <v>13.749815395871133</v>
      </c>
      <c r="R23" s="43">
        <f>S23*$R$4/100</f>
        <v>10.312361546903348</v>
      </c>
      <c r="S23" s="43">
        <v>2997.459756299907</v>
      </c>
    </row>
    <row r="24" spans="1:19" x14ac:dyDescent="0.55000000000000004">
      <c r="A24" s="1">
        <v>2023</v>
      </c>
      <c r="B24" s="43">
        <f t="shared" ref="B24:B33" si="17">S24*$B$4/100</f>
        <v>867.74557500503465</v>
      </c>
      <c r="C24" s="43">
        <f t="shared" ref="C24:C33" si="18">S24*$C$4/100</f>
        <v>551.7730014977667</v>
      </c>
      <c r="D24" s="43">
        <f t="shared" ref="D24:D33" si="19">S24*$D$4/100</f>
        <v>532.90896725852679</v>
      </c>
      <c r="E24" s="43">
        <f t="shared" ref="E24:E33" si="20">S24*$E$4/100</f>
        <v>466.8848474211872</v>
      </c>
      <c r="F24" s="43">
        <f t="shared" ref="F24:F33" si="21">S24*$F$4/100</f>
        <v>400.86072758384756</v>
      </c>
      <c r="G24" s="43">
        <f t="shared" ref="G24:G33" si="22">S24*$G$4/100</f>
        <v>221.65240231106864</v>
      </c>
      <c r="H24" s="43">
        <f t="shared" ref="H24:H33" si="23">S24*$H$4/100</f>
        <v>207.50437663163876</v>
      </c>
      <c r="I24" s="43">
        <f t="shared" ref="I24:I32" si="24">S24*$I$4/100</f>
        <v>174.49231671296894</v>
      </c>
      <c r="J24" s="43">
        <f t="shared" ref="J24:J33" si="25">S24*$J$4/100</f>
        <v>150.91227391391908</v>
      </c>
      <c r="K24" s="43">
        <f t="shared" ref="K24:K33" si="26">S24*$K$4/100</f>
        <v>117.90021399524929</v>
      </c>
      <c r="L24" s="43">
        <f t="shared" ref="L24:L33" si="27">S24*$L$4/100</f>
        <v>108.46819687562933</v>
      </c>
      <c r="M24" s="43">
        <f t="shared" ref="M24:M33" si="28">S24*$M$4/100</f>
        <v>89.604162636389447</v>
      </c>
      <c r="N24" s="43">
        <f t="shared" ref="N24:N33" si="29">S24*$N$4/100</f>
        <v>84.888154076579482</v>
      </c>
      <c r="O24" s="43">
        <f t="shared" ref="O24:O33" si="30">S24*$O$4/100</f>
        <v>56.592102717719655</v>
      </c>
      <c r="P24" s="43">
        <f t="shared" ref="P24:P33" si="31">S24*$P$4/100</f>
        <v>47.160085598099712</v>
      </c>
      <c r="Q24" s="43">
        <f t="shared" ref="Q24:Q33" si="32">S24*$Q$4/100</f>
        <v>18.864034239239885</v>
      </c>
      <c r="R24" s="43">
        <f t="shared" ref="R24:R33" si="33">S24*$R$4/100</f>
        <v>14.148025679429914</v>
      </c>
      <c r="S24" s="43">
        <v>4112.359464154295</v>
      </c>
    </row>
    <row r="25" spans="1:19" x14ac:dyDescent="0.55000000000000004">
      <c r="A25" s="23">
        <v>2024</v>
      </c>
      <c r="B25" s="43">
        <f t="shared" si="17"/>
        <v>1130.2499312677664</v>
      </c>
      <c r="C25" s="43">
        <f t="shared" si="18"/>
        <v>718.69153238222123</v>
      </c>
      <c r="D25" s="43">
        <f t="shared" si="19"/>
        <v>694.12088170248705</v>
      </c>
      <c r="E25" s="43">
        <f t="shared" si="20"/>
        <v>608.12360432341791</v>
      </c>
      <c r="F25" s="43">
        <f t="shared" si="21"/>
        <v>522.12632694434865</v>
      </c>
      <c r="G25" s="43">
        <f t="shared" si="22"/>
        <v>288.7051454868751</v>
      </c>
      <c r="H25" s="43">
        <f t="shared" si="23"/>
        <v>270.27715747707464</v>
      </c>
      <c r="I25" s="43">
        <f t="shared" si="24"/>
        <v>227.27851878753998</v>
      </c>
      <c r="J25" s="43">
        <f t="shared" si="25"/>
        <v>196.56520543787246</v>
      </c>
      <c r="K25" s="43">
        <f t="shared" si="26"/>
        <v>153.56656674833783</v>
      </c>
      <c r="L25" s="43">
        <f t="shared" si="27"/>
        <v>141.28124140847081</v>
      </c>
      <c r="M25" s="43">
        <f t="shared" si="28"/>
        <v>116.71059072873675</v>
      </c>
      <c r="N25" s="43">
        <f t="shared" si="29"/>
        <v>110.56792805880325</v>
      </c>
      <c r="O25" s="43">
        <f t="shared" si="30"/>
        <v>73.71195203920216</v>
      </c>
      <c r="P25" s="43">
        <f t="shared" si="31"/>
        <v>61.426626699335138</v>
      </c>
      <c r="Q25" s="43">
        <f t="shared" si="32"/>
        <v>24.570650679734058</v>
      </c>
      <c r="R25" s="43">
        <f t="shared" si="33"/>
        <v>18.42798800980054</v>
      </c>
      <c r="S25" s="43">
        <v>5356.401848182024</v>
      </c>
    </row>
    <row r="26" spans="1:19" x14ac:dyDescent="0.55000000000000004">
      <c r="A26" s="1">
        <v>2025</v>
      </c>
      <c r="B26" s="43">
        <f t="shared" si="17"/>
        <v>1414.54901096963</v>
      </c>
      <c r="C26" s="43">
        <f t="shared" si="18"/>
        <v>899.46866458394959</v>
      </c>
      <c r="D26" s="43">
        <f t="shared" si="19"/>
        <v>868.71759912808807</v>
      </c>
      <c r="E26" s="43">
        <f t="shared" si="20"/>
        <v>761.08887003257269</v>
      </c>
      <c r="F26" s="43">
        <f t="shared" si="21"/>
        <v>653.46014093705742</v>
      </c>
      <c r="G26" s="43">
        <f t="shared" si="22"/>
        <v>361.32501910637291</v>
      </c>
      <c r="H26" s="43">
        <f t="shared" si="23"/>
        <v>338.26172001447679</v>
      </c>
      <c r="I26" s="43">
        <f t="shared" si="24"/>
        <v>284.4473554667191</v>
      </c>
      <c r="J26" s="43">
        <f t="shared" si="25"/>
        <v>246.0085236468922</v>
      </c>
      <c r="K26" s="43">
        <f t="shared" si="26"/>
        <v>192.19415909913451</v>
      </c>
      <c r="L26" s="43">
        <f t="shared" si="27"/>
        <v>176.81862637120375</v>
      </c>
      <c r="M26" s="43">
        <f t="shared" si="28"/>
        <v>146.06756091534223</v>
      </c>
      <c r="N26" s="43">
        <f t="shared" si="29"/>
        <v>138.37979455137685</v>
      </c>
      <c r="O26" s="43">
        <f t="shared" si="30"/>
        <v>92.253196367584565</v>
      </c>
      <c r="P26" s="43">
        <f t="shared" si="31"/>
        <v>76.877663639653804</v>
      </c>
      <c r="Q26" s="43">
        <f t="shared" si="32"/>
        <v>30.751065455861525</v>
      </c>
      <c r="R26" s="43">
        <f t="shared" si="33"/>
        <v>23.063299091896141</v>
      </c>
      <c r="S26" s="43">
        <v>6703.7322693778124</v>
      </c>
    </row>
    <row r="27" spans="1:19" x14ac:dyDescent="0.55000000000000004">
      <c r="A27" s="23">
        <v>2026</v>
      </c>
      <c r="B27" s="43">
        <f t="shared" si="17"/>
        <v>1717.563282033746</v>
      </c>
      <c r="C27" s="43">
        <f t="shared" si="18"/>
        <v>1092.1462173801538</v>
      </c>
      <c r="D27" s="43">
        <f t="shared" si="19"/>
        <v>1054.8078851620289</v>
      </c>
      <c r="E27" s="43">
        <f t="shared" si="20"/>
        <v>924.12372239859178</v>
      </c>
      <c r="F27" s="43">
        <f t="shared" si="21"/>
        <v>793.43955963515441</v>
      </c>
      <c r="G27" s="43">
        <f t="shared" si="22"/>
        <v>438.72540356296776</v>
      </c>
      <c r="H27" s="43">
        <f t="shared" si="23"/>
        <v>410.72165439937407</v>
      </c>
      <c r="I27" s="43">
        <f t="shared" si="24"/>
        <v>345.3795730176555</v>
      </c>
      <c r="J27" s="43">
        <f t="shared" si="25"/>
        <v>298.70665774499935</v>
      </c>
      <c r="K27" s="43">
        <f t="shared" si="26"/>
        <v>233.36457636328072</v>
      </c>
      <c r="L27" s="43">
        <f t="shared" si="27"/>
        <v>214.69541025421825</v>
      </c>
      <c r="M27" s="43">
        <f t="shared" si="28"/>
        <v>177.35707803609333</v>
      </c>
      <c r="N27" s="43">
        <f t="shared" si="29"/>
        <v>168.02249498156212</v>
      </c>
      <c r="O27" s="43">
        <f t="shared" si="30"/>
        <v>112.01499665437476</v>
      </c>
      <c r="P27" s="43">
        <f t="shared" si="31"/>
        <v>93.345830545312296</v>
      </c>
      <c r="Q27" s="43">
        <f t="shared" si="32"/>
        <v>37.338332218124918</v>
      </c>
      <c r="R27" s="43">
        <f t="shared" si="33"/>
        <v>28.003749163593689</v>
      </c>
      <c r="S27" s="43">
        <v>8139.7564235512318</v>
      </c>
    </row>
    <row r="28" spans="1:19" x14ac:dyDescent="0.55000000000000004">
      <c r="A28" s="1">
        <v>2027</v>
      </c>
      <c r="B28" s="43">
        <f t="shared" si="17"/>
        <v>2037.240350630894</v>
      </c>
      <c r="C28" s="43">
        <f t="shared" si="18"/>
        <v>1295.4191359989925</v>
      </c>
      <c r="D28" s="43">
        <f t="shared" si="19"/>
        <v>1251.1313022896252</v>
      </c>
      <c r="E28" s="43">
        <f t="shared" si="20"/>
        <v>1096.1238843068397</v>
      </c>
      <c r="F28" s="43">
        <f t="shared" si="21"/>
        <v>941.11646632405416</v>
      </c>
      <c r="G28" s="43">
        <f t="shared" si="22"/>
        <v>520.38204608506533</v>
      </c>
      <c r="H28" s="43">
        <f t="shared" si="23"/>
        <v>487.1661708030399</v>
      </c>
      <c r="I28" s="43">
        <f t="shared" si="24"/>
        <v>409.66246181164718</v>
      </c>
      <c r="J28" s="43">
        <f t="shared" si="25"/>
        <v>354.3026696749381</v>
      </c>
      <c r="K28" s="43">
        <f t="shared" si="26"/>
        <v>276.79896068354537</v>
      </c>
      <c r="L28" s="43">
        <f t="shared" si="27"/>
        <v>254.65504382886175</v>
      </c>
      <c r="M28" s="43">
        <f t="shared" si="28"/>
        <v>210.36721011949447</v>
      </c>
      <c r="N28" s="43">
        <f t="shared" si="29"/>
        <v>199.29525169215268</v>
      </c>
      <c r="O28" s="43">
        <f t="shared" si="30"/>
        <v>132.86350112810177</v>
      </c>
      <c r="P28" s="43">
        <f t="shared" si="31"/>
        <v>110.71958427341815</v>
      </c>
      <c r="Q28" s="43">
        <f t="shared" si="32"/>
        <v>44.287833709367263</v>
      </c>
      <c r="R28" s="43">
        <f t="shared" si="33"/>
        <v>33.215875282025443</v>
      </c>
      <c r="S28" s="43">
        <v>9654.747748642063</v>
      </c>
    </row>
    <row r="29" spans="1:19" x14ac:dyDescent="0.55000000000000004">
      <c r="A29" s="23">
        <v>2028</v>
      </c>
      <c r="B29" s="43">
        <f t="shared" si="17"/>
        <v>2372.0849776217037</v>
      </c>
      <c r="C29" s="43">
        <f t="shared" si="18"/>
        <v>1508.3366433790184</v>
      </c>
      <c r="D29" s="43">
        <f t="shared" si="19"/>
        <v>1456.7695786481117</v>
      </c>
      <c r="E29" s="43">
        <f t="shared" si="20"/>
        <v>1276.2848520899386</v>
      </c>
      <c r="F29" s="43">
        <f t="shared" si="21"/>
        <v>1095.8001255317654</v>
      </c>
      <c r="G29" s="43">
        <f t="shared" si="22"/>
        <v>605.91301058815259</v>
      </c>
      <c r="H29" s="43">
        <f t="shared" si="23"/>
        <v>567.23771203997273</v>
      </c>
      <c r="I29" s="43">
        <f t="shared" si="24"/>
        <v>476.99534876088615</v>
      </c>
      <c r="J29" s="43">
        <f t="shared" si="25"/>
        <v>412.53651784725292</v>
      </c>
      <c r="K29" s="43">
        <f t="shared" si="26"/>
        <v>322.29415456816628</v>
      </c>
      <c r="L29" s="43">
        <f t="shared" si="27"/>
        <v>296.51062220271297</v>
      </c>
      <c r="M29" s="43">
        <f t="shared" si="28"/>
        <v>244.94355747180637</v>
      </c>
      <c r="N29" s="43">
        <f t="shared" si="29"/>
        <v>232.05179128907974</v>
      </c>
      <c r="O29" s="43">
        <f t="shared" si="30"/>
        <v>154.70119419271984</v>
      </c>
      <c r="P29" s="43">
        <f t="shared" si="31"/>
        <v>128.91766182726653</v>
      </c>
      <c r="Q29" s="43">
        <f t="shared" si="32"/>
        <v>51.567064730906615</v>
      </c>
      <c r="R29" s="43">
        <f t="shared" si="33"/>
        <v>38.67529854817996</v>
      </c>
      <c r="S29" s="43">
        <v>11241.620111337641</v>
      </c>
    </row>
    <row r="30" spans="1:19" x14ac:dyDescent="0.55000000000000004">
      <c r="A30" s="1">
        <v>2029</v>
      </c>
      <c r="B30" s="43">
        <f t="shared" si="17"/>
        <v>2720.9446920388336</v>
      </c>
      <c r="C30" s="43">
        <f t="shared" si="18"/>
        <v>1730.1659183073023</v>
      </c>
      <c r="D30" s="43">
        <f t="shared" si="19"/>
        <v>1671.0149467412405</v>
      </c>
      <c r="E30" s="43">
        <f t="shared" si="20"/>
        <v>1463.9865462600251</v>
      </c>
      <c r="F30" s="43">
        <f t="shared" si="21"/>
        <v>1256.958145778809</v>
      </c>
      <c r="G30" s="43">
        <f t="shared" si="22"/>
        <v>695.02391590122397</v>
      </c>
      <c r="H30" s="43">
        <f t="shared" si="23"/>
        <v>650.66068722667774</v>
      </c>
      <c r="I30" s="43">
        <f t="shared" si="24"/>
        <v>547.14648698606982</v>
      </c>
      <c r="J30" s="43">
        <f t="shared" si="25"/>
        <v>473.20777252849291</v>
      </c>
      <c r="K30" s="43">
        <f t="shared" si="26"/>
        <v>369.69357228788505</v>
      </c>
      <c r="L30" s="43">
        <f t="shared" si="27"/>
        <v>340.1180865048542</v>
      </c>
      <c r="M30" s="43">
        <f t="shared" si="28"/>
        <v>280.96711493879263</v>
      </c>
      <c r="N30" s="43">
        <f t="shared" si="29"/>
        <v>266.17937204727718</v>
      </c>
      <c r="O30" s="43">
        <f t="shared" si="30"/>
        <v>177.45291469818483</v>
      </c>
      <c r="P30" s="43">
        <f t="shared" si="31"/>
        <v>147.87742891515404</v>
      </c>
      <c r="Q30" s="43">
        <f t="shared" si="32"/>
        <v>59.150971566061614</v>
      </c>
      <c r="R30" s="43">
        <f t="shared" si="33"/>
        <v>44.363228674546207</v>
      </c>
      <c r="S30" s="43">
        <v>12894.911801401431</v>
      </c>
    </row>
    <row r="31" spans="1:19" x14ac:dyDescent="0.55000000000000004">
      <c r="A31" s="23">
        <v>2030</v>
      </c>
      <c r="B31" s="43">
        <f t="shared" si="17"/>
        <v>3082.895818515346</v>
      </c>
      <c r="C31" s="43">
        <f t="shared" si="18"/>
        <v>1960.3196237298669</v>
      </c>
      <c r="D31" s="43">
        <f t="shared" si="19"/>
        <v>1893.3001494143159</v>
      </c>
      <c r="E31" s="43">
        <f t="shared" si="20"/>
        <v>1658.7319893098872</v>
      </c>
      <c r="F31" s="43">
        <f t="shared" si="21"/>
        <v>1424.1638292054588</v>
      </c>
      <c r="G31" s="43">
        <f t="shared" si="22"/>
        <v>787.47882320772419</v>
      </c>
      <c r="H31" s="43">
        <f t="shared" si="23"/>
        <v>737.21421747106103</v>
      </c>
      <c r="I31" s="43">
        <f t="shared" si="24"/>
        <v>619.9301374188467</v>
      </c>
      <c r="J31" s="43">
        <f t="shared" si="25"/>
        <v>536.15579452440807</v>
      </c>
      <c r="K31" s="43">
        <f t="shared" si="26"/>
        <v>418.87171447219379</v>
      </c>
      <c r="L31" s="43">
        <f t="shared" si="27"/>
        <v>385.36197731441825</v>
      </c>
      <c r="M31" s="43">
        <f t="shared" si="28"/>
        <v>318.34250299886725</v>
      </c>
      <c r="N31" s="43">
        <f t="shared" si="29"/>
        <v>301.58763441997945</v>
      </c>
      <c r="O31" s="43">
        <f t="shared" si="30"/>
        <v>201.058422946653</v>
      </c>
      <c r="P31" s="43">
        <f t="shared" si="31"/>
        <v>167.54868578887749</v>
      </c>
      <c r="Q31" s="43">
        <f t="shared" si="32"/>
        <v>67.019474315551008</v>
      </c>
      <c r="R31" s="43">
        <f t="shared" si="33"/>
        <v>50.264605736663249</v>
      </c>
      <c r="S31" s="43">
        <v>14610.245400790118</v>
      </c>
    </row>
    <row r="32" spans="1:19" x14ac:dyDescent="0.55000000000000004">
      <c r="A32" s="1">
        <v>2031</v>
      </c>
      <c r="B32" s="43">
        <f t="shared" si="17"/>
        <v>3457.1764513992098</v>
      </c>
      <c r="C32" s="43">
        <f t="shared" si="18"/>
        <v>2198.3132870310196</v>
      </c>
      <c r="D32" s="43">
        <f t="shared" si="19"/>
        <v>2123.1572772179929</v>
      </c>
      <c r="E32" s="43">
        <f t="shared" si="20"/>
        <v>1860.1112428724011</v>
      </c>
      <c r="F32" s="43">
        <f t="shared" si="21"/>
        <v>1597.0652085268086</v>
      </c>
      <c r="G32" s="43">
        <f t="shared" si="22"/>
        <v>883.083115303059</v>
      </c>
      <c r="H32" s="43">
        <f t="shared" si="23"/>
        <v>826.71610794328944</v>
      </c>
      <c r="I32" s="43">
        <f t="shared" si="24"/>
        <v>695.19309077049331</v>
      </c>
      <c r="J32" s="43">
        <f t="shared" si="25"/>
        <v>601.24807850421041</v>
      </c>
      <c r="K32" s="43">
        <f t="shared" si="26"/>
        <v>469.72506133141439</v>
      </c>
      <c r="L32" s="43">
        <f t="shared" si="27"/>
        <v>432.14705642490122</v>
      </c>
      <c r="M32" s="43">
        <f t="shared" si="28"/>
        <v>356.99104661187494</v>
      </c>
      <c r="N32" s="43">
        <f t="shared" si="29"/>
        <v>338.20204415861832</v>
      </c>
      <c r="O32" s="43">
        <f t="shared" si="30"/>
        <v>225.46802943907889</v>
      </c>
      <c r="P32" s="43">
        <f t="shared" si="31"/>
        <v>187.89002453256577</v>
      </c>
      <c r="Q32" s="43">
        <f t="shared" si="32"/>
        <v>75.156009813026301</v>
      </c>
      <c r="R32" s="43">
        <f t="shared" si="33"/>
        <v>56.367007359769723</v>
      </c>
      <c r="S32" s="43">
        <v>16384.010139239734</v>
      </c>
    </row>
    <row r="33" spans="1:19" x14ac:dyDescent="0.55000000000000004">
      <c r="A33" s="23">
        <v>2032</v>
      </c>
      <c r="B33" s="43">
        <f t="shared" si="17"/>
        <v>3843.1440852695268</v>
      </c>
      <c r="C33" s="43">
        <f t="shared" si="18"/>
        <v>2443.7383585681232</v>
      </c>
      <c r="D33" s="43">
        <f t="shared" si="19"/>
        <v>2360.1917480187853</v>
      </c>
      <c r="E33" s="43">
        <f t="shared" si="20"/>
        <v>2067.7786110961042</v>
      </c>
      <c r="F33" s="43">
        <f t="shared" si="21"/>
        <v>1775.3654741734226</v>
      </c>
      <c r="G33" s="43">
        <f t="shared" si="22"/>
        <v>981.67267395471606</v>
      </c>
      <c r="H33" s="43">
        <f t="shared" si="23"/>
        <v>919.01271604271301</v>
      </c>
      <c r="I33" s="43">
        <f>S33*$I$4/100</f>
        <v>772.80614758137222</v>
      </c>
      <c r="J33" s="43">
        <f t="shared" si="25"/>
        <v>668.37288439470035</v>
      </c>
      <c r="K33" s="43">
        <f t="shared" si="26"/>
        <v>522.16631593335967</v>
      </c>
      <c r="L33" s="43">
        <f t="shared" si="27"/>
        <v>480.39301065869086</v>
      </c>
      <c r="M33" s="43">
        <f t="shared" si="28"/>
        <v>396.84640010935328</v>
      </c>
      <c r="N33" s="43">
        <f t="shared" si="29"/>
        <v>375.95974747201888</v>
      </c>
      <c r="O33" s="43">
        <f t="shared" si="30"/>
        <v>250.63983164801263</v>
      </c>
      <c r="P33" s="43">
        <f t="shared" si="31"/>
        <v>208.86652637334385</v>
      </c>
      <c r="Q33" s="43">
        <f t="shared" si="32"/>
        <v>83.546610549337544</v>
      </c>
      <c r="R33" s="43">
        <f t="shared" si="33"/>
        <v>62.659957912003158</v>
      </c>
      <c r="S33" s="43">
        <v>18213.161099755584</v>
      </c>
    </row>
    <row r="35" spans="1:19" ht="18.3" x14ac:dyDescent="0.7">
      <c r="A35" s="45" t="s">
        <v>135</v>
      </c>
    </row>
    <row r="36" spans="1:19" x14ac:dyDescent="0.55000000000000004">
      <c r="A36" s="35" t="s">
        <v>101</v>
      </c>
      <c r="B36" s="35" t="s">
        <v>112</v>
      </c>
      <c r="C36" s="35" t="s">
        <v>113</v>
      </c>
      <c r="D36" s="35" t="s">
        <v>114</v>
      </c>
      <c r="E36" s="35" t="s">
        <v>115</v>
      </c>
      <c r="F36" s="35" t="s">
        <v>116</v>
      </c>
      <c r="G36" s="35" t="s">
        <v>117</v>
      </c>
      <c r="H36" s="35" t="s">
        <v>118</v>
      </c>
      <c r="I36" s="35" t="s">
        <v>119</v>
      </c>
      <c r="J36" s="35" t="s">
        <v>120</v>
      </c>
      <c r="K36" s="35" t="s">
        <v>121</v>
      </c>
      <c r="L36" s="35" t="s">
        <v>122</v>
      </c>
      <c r="M36" s="35" t="s">
        <v>123</v>
      </c>
      <c r="N36" s="35" t="s">
        <v>124</v>
      </c>
      <c r="O36" s="35" t="s">
        <v>125</v>
      </c>
      <c r="P36" s="35" t="s">
        <v>126</v>
      </c>
      <c r="Q36" s="35" t="s">
        <v>127</v>
      </c>
      <c r="R36" s="35" t="s">
        <v>128</v>
      </c>
    </row>
    <row r="37" spans="1:19" x14ac:dyDescent="0.55000000000000004">
      <c r="A37" s="23">
        <v>2022</v>
      </c>
      <c r="B37" s="43">
        <f>S37*$B$4/100</f>
        <v>913.89212431868725</v>
      </c>
      <c r="C37" s="43">
        <f>S37*$C$4/100</f>
        <v>581.11618774612191</v>
      </c>
      <c r="D37" s="43">
        <f>S37*$D$4/100</f>
        <v>561.2489676522373</v>
      </c>
      <c r="E37" s="43">
        <f>S37*$E$4/100</f>
        <v>491.71369732364155</v>
      </c>
      <c r="F37" s="43">
        <f>S37*$F$4/100</f>
        <v>422.17842699504575</v>
      </c>
      <c r="G37" s="43">
        <f>S37*$G$4/100</f>
        <v>233.43983610314297</v>
      </c>
      <c r="H37" s="43">
        <f>S37*$H$4/100</f>
        <v>218.53942103272959</v>
      </c>
      <c r="I37" s="43">
        <f>S37*$I$4/100</f>
        <v>183.77178586843169</v>
      </c>
      <c r="J37" s="43">
        <f>S37*$J$4/100</f>
        <v>158.93776075107607</v>
      </c>
      <c r="K37" s="43">
        <f>S37*$K$4/100</f>
        <v>124.17012558677816</v>
      </c>
      <c r="L37" s="43">
        <f>S37*$L$4/100</f>
        <v>114.23651553983591</v>
      </c>
      <c r="M37" s="43">
        <f>S37*$M$4/100</f>
        <v>94.369295445951408</v>
      </c>
      <c r="N37" s="43">
        <f>S37*$N$4/100</f>
        <v>89.402490422480284</v>
      </c>
      <c r="O37" s="43">
        <f>S37*$O$4/100</f>
        <v>59.601660281653523</v>
      </c>
      <c r="P37" s="43">
        <f>S37*$P$4/100</f>
        <v>49.668050234711266</v>
      </c>
      <c r="Q37" s="43">
        <f>S37*$Q$4/100</f>
        <v>19.867220093884509</v>
      </c>
      <c r="R37" s="43">
        <f>S37*$R$4/100</f>
        <v>14.900415070413381</v>
      </c>
      <c r="S37" s="43">
        <v>4331.0539804668224</v>
      </c>
    </row>
    <row r="38" spans="1:19" x14ac:dyDescent="0.55000000000000004">
      <c r="A38" s="1">
        <v>2023</v>
      </c>
      <c r="B38" s="43">
        <f t="shared" ref="B38:B47" si="34">S38*$B$4/100</f>
        <v>1385.0399433898449</v>
      </c>
      <c r="C38" s="43">
        <f t="shared" ref="C38:C47" si="35">S38*$C$4/100</f>
        <v>880.70474661202093</v>
      </c>
      <c r="D38" s="43">
        <f t="shared" ref="D38:D47" si="36">S38*$D$4/100</f>
        <v>850.59518262528525</v>
      </c>
      <c r="E38" s="43">
        <f t="shared" ref="E38:E47" si="37">S38*$E$4/100</f>
        <v>745.21170867171008</v>
      </c>
      <c r="F38" s="43">
        <f t="shared" ref="F38:F47" si="38">S38*$F$4/100</f>
        <v>639.82823471813481</v>
      </c>
      <c r="G38" s="43">
        <f t="shared" ref="G38:G47" si="39">S38*$G$4/100</f>
        <v>353.78737684414517</v>
      </c>
      <c r="H38" s="43">
        <f t="shared" ref="H38:H47" si="40">S38*$H$4/100</f>
        <v>331.20520385409344</v>
      </c>
      <c r="I38" s="43">
        <f t="shared" ref="I38:I47" si="41">S38*$I$4/100</f>
        <v>278.51346687730575</v>
      </c>
      <c r="J38" s="43">
        <f t="shared" ref="J38:J47" si="42">S38*$J$4/100</f>
        <v>240.87651189388609</v>
      </c>
      <c r="K38" s="43">
        <f t="shared" ref="K38:K47" si="43">S38*$K$4/100</f>
        <v>188.18477491709851</v>
      </c>
      <c r="L38" s="43">
        <f t="shared" ref="L38:L47" si="44">S38*$L$4/100</f>
        <v>173.12999292373061</v>
      </c>
      <c r="M38" s="43">
        <f t="shared" ref="M38:M47" si="45">S38*$M$4/100</f>
        <v>143.02042893699485</v>
      </c>
      <c r="N38" s="43">
        <f t="shared" ref="N38:N47" si="46">S38*$N$4/100</f>
        <v>135.49303794031093</v>
      </c>
      <c r="O38" s="43">
        <f t="shared" ref="O38:O47" si="47">S38*$O$4/100</f>
        <v>90.328691960207266</v>
      </c>
      <c r="P38" s="43">
        <f t="shared" ref="P38:P47" si="48">S38*$P$4/100</f>
        <v>75.273909966839398</v>
      </c>
      <c r="Q38" s="43">
        <f t="shared" ref="Q38:Q47" si="49">S38*$Q$4/100</f>
        <v>30.109563986735761</v>
      </c>
      <c r="R38" s="43">
        <f t="shared" ref="R38:R47" si="50">S38*$R$4/100</f>
        <v>22.582172990051816</v>
      </c>
      <c r="S38" s="43">
        <v>6563.8849491083956</v>
      </c>
    </row>
    <row r="39" spans="1:19" x14ac:dyDescent="0.55000000000000004">
      <c r="A39" s="23">
        <v>2024</v>
      </c>
      <c r="B39" s="43">
        <f t="shared" si="34"/>
        <v>1904.2776318389247</v>
      </c>
      <c r="C39" s="43">
        <f t="shared" si="35"/>
        <v>1210.8721898106207</v>
      </c>
      <c r="D39" s="43">
        <f t="shared" si="36"/>
        <v>1169.4748499880354</v>
      </c>
      <c r="E39" s="43">
        <f t="shared" si="37"/>
        <v>1024.5841606089868</v>
      </c>
      <c r="F39" s="43">
        <f t="shared" si="38"/>
        <v>879.69347122993815</v>
      </c>
      <c r="G39" s="43">
        <f t="shared" si="39"/>
        <v>486.41874291537761</v>
      </c>
      <c r="H39" s="43">
        <f t="shared" si="40"/>
        <v>455.37073804843862</v>
      </c>
      <c r="I39" s="43">
        <f t="shared" si="41"/>
        <v>382.92539335891422</v>
      </c>
      <c r="J39" s="43">
        <f t="shared" si="42"/>
        <v>331.17871858068264</v>
      </c>
      <c r="K39" s="43">
        <f t="shared" si="43"/>
        <v>258.73337389115829</v>
      </c>
      <c r="L39" s="43">
        <f t="shared" si="44"/>
        <v>238.03470397986558</v>
      </c>
      <c r="M39" s="43">
        <f t="shared" si="45"/>
        <v>196.63736415728027</v>
      </c>
      <c r="N39" s="43">
        <f t="shared" si="46"/>
        <v>186.28802920163395</v>
      </c>
      <c r="O39" s="43">
        <f t="shared" si="47"/>
        <v>124.19201946775598</v>
      </c>
      <c r="P39" s="43">
        <f t="shared" si="48"/>
        <v>103.49334955646331</v>
      </c>
      <c r="Q39" s="43">
        <f t="shared" si="49"/>
        <v>41.39733982258533</v>
      </c>
      <c r="R39" s="43">
        <f t="shared" si="50"/>
        <v>31.048004866938996</v>
      </c>
      <c r="S39" s="43">
        <v>9024.620081323601</v>
      </c>
    </row>
    <row r="40" spans="1:19" x14ac:dyDescent="0.55000000000000004">
      <c r="A40" s="1">
        <v>2025</v>
      </c>
      <c r="B40" s="43">
        <f t="shared" si="34"/>
        <v>2452.34024103607</v>
      </c>
      <c r="C40" s="43">
        <f t="shared" si="35"/>
        <v>1559.3685228327186</v>
      </c>
      <c r="D40" s="43">
        <f t="shared" si="36"/>
        <v>1506.056778462369</v>
      </c>
      <c r="E40" s="43">
        <f t="shared" si="37"/>
        <v>1319.4656731661464</v>
      </c>
      <c r="F40" s="43">
        <f t="shared" si="38"/>
        <v>1132.8745678699236</v>
      </c>
      <c r="G40" s="43">
        <f t="shared" si="39"/>
        <v>626.41299635160476</v>
      </c>
      <c r="H40" s="43">
        <f t="shared" si="40"/>
        <v>586.42918807384285</v>
      </c>
      <c r="I40" s="43">
        <f t="shared" si="41"/>
        <v>493.13363542573148</v>
      </c>
      <c r="J40" s="43">
        <f t="shared" si="42"/>
        <v>426.49395496279482</v>
      </c>
      <c r="K40" s="43">
        <f t="shared" si="43"/>
        <v>333.19840231468339</v>
      </c>
      <c r="L40" s="43">
        <f t="shared" si="44"/>
        <v>306.54253012950875</v>
      </c>
      <c r="M40" s="43">
        <f t="shared" si="45"/>
        <v>253.2307857591594</v>
      </c>
      <c r="N40" s="43">
        <f t="shared" si="46"/>
        <v>239.90284966657202</v>
      </c>
      <c r="O40" s="43">
        <f t="shared" si="47"/>
        <v>159.93523311104803</v>
      </c>
      <c r="P40" s="43">
        <f t="shared" si="48"/>
        <v>133.27936092587336</v>
      </c>
      <c r="Q40" s="43">
        <f t="shared" si="49"/>
        <v>53.311744370349352</v>
      </c>
      <c r="R40" s="43">
        <f t="shared" si="50"/>
        <v>39.983808277762009</v>
      </c>
      <c r="S40" s="43">
        <v>11621.960272736158</v>
      </c>
    </row>
    <row r="41" spans="1:19" x14ac:dyDescent="0.55000000000000004">
      <c r="A41" s="23">
        <v>2026</v>
      </c>
      <c r="B41" s="43">
        <f t="shared" si="34"/>
        <v>3017.680641261235</v>
      </c>
      <c r="C41" s="43">
        <f t="shared" si="35"/>
        <v>1918.8512773237205</v>
      </c>
      <c r="D41" s="43">
        <f t="shared" si="36"/>
        <v>1853.2495242528239</v>
      </c>
      <c r="E41" s="43">
        <f t="shared" si="37"/>
        <v>1623.6433885046865</v>
      </c>
      <c r="F41" s="43">
        <f t="shared" si="38"/>
        <v>1394.0372527565489</v>
      </c>
      <c r="G41" s="43">
        <f t="shared" si="39"/>
        <v>770.82059858303296</v>
      </c>
      <c r="H41" s="43">
        <f t="shared" si="40"/>
        <v>721.61928377986067</v>
      </c>
      <c r="I41" s="43">
        <f t="shared" si="41"/>
        <v>606.81621590579186</v>
      </c>
      <c r="J41" s="43">
        <f t="shared" si="42"/>
        <v>524.81402456717149</v>
      </c>
      <c r="K41" s="43">
        <f t="shared" si="43"/>
        <v>410.01095669310263</v>
      </c>
      <c r="L41" s="43">
        <f t="shared" si="44"/>
        <v>377.21008015765437</v>
      </c>
      <c r="M41" s="43">
        <f t="shared" si="45"/>
        <v>311.60832708675798</v>
      </c>
      <c r="N41" s="43">
        <f t="shared" si="46"/>
        <v>295.20788881903388</v>
      </c>
      <c r="O41" s="43">
        <f t="shared" si="47"/>
        <v>196.80525921268926</v>
      </c>
      <c r="P41" s="43">
        <f t="shared" si="48"/>
        <v>164.00438267724104</v>
      </c>
      <c r="Q41" s="43">
        <f t="shared" si="49"/>
        <v>65.601753070896436</v>
      </c>
      <c r="R41" s="43">
        <f t="shared" si="50"/>
        <v>49.201314803172316</v>
      </c>
      <c r="S41" s="43">
        <v>14301.18216945542</v>
      </c>
    </row>
    <row r="42" spans="1:19" x14ac:dyDescent="0.55000000000000004">
      <c r="A42" s="1">
        <v>2027</v>
      </c>
      <c r="B42" s="43">
        <f t="shared" si="34"/>
        <v>3593.3774339981096</v>
      </c>
      <c r="C42" s="43">
        <f t="shared" si="35"/>
        <v>2284.9193466183638</v>
      </c>
      <c r="D42" s="43">
        <f t="shared" si="36"/>
        <v>2206.8024458792743</v>
      </c>
      <c r="E42" s="43">
        <f t="shared" si="37"/>
        <v>1933.3932932924615</v>
      </c>
      <c r="F42" s="43">
        <f t="shared" si="38"/>
        <v>1659.9841407056488</v>
      </c>
      <c r="G42" s="43">
        <f t="shared" si="39"/>
        <v>917.87358368429977</v>
      </c>
      <c r="H42" s="43">
        <f t="shared" si="40"/>
        <v>859.28590812998289</v>
      </c>
      <c r="I42" s="43">
        <f t="shared" si="41"/>
        <v>722.5813318365764</v>
      </c>
      <c r="J42" s="43">
        <f t="shared" si="42"/>
        <v>624.93520591271476</v>
      </c>
      <c r="K42" s="43">
        <f t="shared" si="43"/>
        <v>488.23062961930844</v>
      </c>
      <c r="L42" s="43">
        <f t="shared" si="44"/>
        <v>449.1721792497637</v>
      </c>
      <c r="M42" s="43">
        <f t="shared" si="45"/>
        <v>371.05527851067438</v>
      </c>
      <c r="N42" s="43">
        <f t="shared" si="46"/>
        <v>351.52605332590201</v>
      </c>
      <c r="O42" s="43">
        <f t="shared" si="47"/>
        <v>234.35070221726804</v>
      </c>
      <c r="P42" s="43">
        <f t="shared" si="48"/>
        <v>195.29225184772338</v>
      </c>
      <c r="Q42" s="43">
        <f t="shared" si="49"/>
        <v>78.116900739089346</v>
      </c>
      <c r="R42" s="43">
        <f t="shared" si="50"/>
        <v>58.587675554317009</v>
      </c>
      <c r="S42" s="43">
        <v>17029.484361121478</v>
      </c>
    </row>
    <row r="43" spans="1:19" x14ac:dyDescent="0.55000000000000004">
      <c r="A43" s="23">
        <v>2028</v>
      </c>
      <c r="B43" s="43">
        <f t="shared" si="34"/>
        <v>4175.2818991904551</v>
      </c>
      <c r="C43" s="43">
        <f t="shared" si="35"/>
        <v>2654.934685898279</v>
      </c>
      <c r="D43" s="43">
        <f t="shared" si="36"/>
        <v>2564.1676880897908</v>
      </c>
      <c r="E43" s="43">
        <f t="shared" si="37"/>
        <v>2246.4831957600823</v>
      </c>
      <c r="F43" s="43">
        <f t="shared" si="38"/>
        <v>1928.7987034303735</v>
      </c>
      <c r="G43" s="43">
        <f t="shared" si="39"/>
        <v>1066.5122242497359</v>
      </c>
      <c r="H43" s="43">
        <f t="shared" si="40"/>
        <v>998.43697589337</v>
      </c>
      <c r="I43" s="43">
        <f t="shared" si="41"/>
        <v>839.59472972851552</v>
      </c>
      <c r="J43" s="43">
        <f t="shared" si="42"/>
        <v>726.13598246790536</v>
      </c>
      <c r="K43" s="43">
        <f t="shared" si="43"/>
        <v>567.29373630305099</v>
      </c>
      <c r="L43" s="43">
        <f t="shared" si="44"/>
        <v>521.91023739880688</v>
      </c>
      <c r="M43" s="43">
        <f t="shared" si="45"/>
        <v>431.14323959031879</v>
      </c>
      <c r="N43" s="43">
        <f t="shared" si="46"/>
        <v>408.45149013819673</v>
      </c>
      <c r="O43" s="43">
        <f t="shared" si="47"/>
        <v>272.30099342546453</v>
      </c>
      <c r="P43" s="43">
        <f t="shared" si="48"/>
        <v>226.91749452122042</v>
      </c>
      <c r="Q43" s="43">
        <f t="shared" si="49"/>
        <v>90.766997808488171</v>
      </c>
      <c r="R43" s="43">
        <f t="shared" si="50"/>
        <v>68.075248356366131</v>
      </c>
      <c r="S43" s="43">
        <v>19787.20552225042</v>
      </c>
    </row>
    <row r="44" spans="1:19" x14ac:dyDescent="0.55000000000000004">
      <c r="A44" s="1">
        <v>2029</v>
      </c>
      <c r="B44" s="43">
        <f t="shared" si="34"/>
        <v>4760.9072736946873</v>
      </c>
      <c r="C44" s="43">
        <f t="shared" si="35"/>
        <v>3027.3160381645571</v>
      </c>
      <c r="D44" s="43">
        <f t="shared" si="36"/>
        <v>2923.8180539538025</v>
      </c>
      <c r="E44" s="43">
        <f t="shared" si="37"/>
        <v>2561.5751092161636</v>
      </c>
      <c r="F44" s="43">
        <f t="shared" si="38"/>
        <v>2199.3321644785237</v>
      </c>
      <c r="G44" s="43">
        <f t="shared" si="39"/>
        <v>1216.1013144763604</v>
      </c>
      <c r="H44" s="43">
        <f t="shared" si="40"/>
        <v>1138.4778263182948</v>
      </c>
      <c r="I44" s="43">
        <f t="shared" si="41"/>
        <v>957.35635394947519</v>
      </c>
      <c r="J44" s="43">
        <f t="shared" si="42"/>
        <v>827.98387368603255</v>
      </c>
      <c r="K44" s="43">
        <f t="shared" si="43"/>
        <v>646.86240131721297</v>
      </c>
      <c r="L44" s="43">
        <f t="shared" si="44"/>
        <v>595.11340921183591</v>
      </c>
      <c r="M44" s="43">
        <f t="shared" si="45"/>
        <v>491.6154250010818</v>
      </c>
      <c r="N44" s="43">
        <f t="shared" si="46"/>
        <v>465.74092894839328</v>
      </c>
      <c r="O44" s="43">
        <f t="shared" si="47"/>
        <v>310.49395263226216</v>
      </c>
      <c r="P44" s="43">
        <f t="shared" si="48"/>
        <v>258.74496052688517</v>
      </c>
      <c r="Q44" s="43">
        <f t="shared" si="49"/>
        <v>103.49798421075407</v>
      </c>
      <c r="R44" s="43">
        <f t="shared" si="50"/>
        <v>77.623488158065541</v>
      </c>
      <c r="S44" s="43">
        <v>22562.560557944387</v>
      </c>
    </row>
    <row r="45" spans="1:19" x14ac:dyDescent="0.55000000000000004">
      <c r="A45" s="23">
        <v>2030</v>
      </c>
      <c r="B45" s="43">
        <f t="shared" si="34"/>
        <v>5348.762979487622</v>
      </c>
      <c r="C45" s="43">
        <f t="shared" si="35"/>
        <v>3401.1155902176729</v>
      </c>
      <c r="D45" s="43">
        <f t="shared" si="36"/>
        <v>3284.8381341418549</v>
      </c>
      <c r="E45" s="43">
        <f t="shared" si="37"/>
        <v>2877.8670378764923</v>
      </c>
      <c r="F45" s="43">
        <f t="shared" si="38"/>
        <v>2470.8959416111297</v>
      </c>
      <c r="G45" s="43">
        <f t="shared" si="39"/>
        <v>1366.26010889086</v>
      </c>
      <c r="H45" s="43">
        <f t="shared" si="40"/>
        <v>1279.0520168339965</v>
      </c>
      <c r="I45" s="43">
        <f t="shared" si="41"/>
        <v>1075.5664687013152</v>
      </c>
      <c r="J45" s="43">
        <f t="shared" si="42"/>
        <v>930.21964860654305</v>
      </c>
      <c r="K45" s="43">
        <f t="shared" si="43"/>
        <v>726.73410047386164</v>
      </c>
      <c r="L45" s="43">
        <f t="shared" si="44"/>
        <v>668.59537243595275</v>
      </c>
      <c r="M45" s="43">
        <f t="shared" si="45"/>
        <v>552.31791636013486</v>
      </c>
      <c r="N45" s="43">
        <f t="shared" si="46"/>
        <v>523.24855234118036</v>
      </c>
      <c r="O45" s="43">
        <f t="shared" si="47"/>
        <v>348.83236822745363</v>
      </c>
      <c r="P45" s="43">
        <f t="shared" si="48"/>
        <v>290.69364018954468</v>
      </c>
      <c r="Q45" s="43">
        <f t="shared" si="49"/>
        <v>116.27745607581788</v>
      </c>
      <c r="R45" s="43">
        <f t="shared" si="50"/>
        <v>87.208092056863407</v>
      </c>
      <c r="S45" s="43">
        <v>25348.485424528295</v>
      </c>
    </row>
    <row r="46" spans="1:19" x14ac:dyDescent="0.55000000000000004">
      <c r="A46" s="1">
        <v>2031</v>
      </c>
      <c r="B46" s="43">
        <f t="shared" si="34"/>
        <v>5937.9555567924399</v>
      </c>
      <c r="C46" s="43">
        <f t="shared" si="35"/>
        <v>3775.7652181778021</v>
      </c>
      <c r="D46" s="43">
        <f t="shared" si="36"/>
        <v>3646.6792278127486</v>
      </c>
      <c r="E46" s="43">
        <f t="shared" si="37"/>
        <v>3194.8782615350633</v>
      </c>
      <c r="F46" s="43">
        <f t="shared" si="38"/>
        <v>2743.077295257377</v>
      </c>
      <c r="G46" s="43">
        <f t="shared" si="39"/>
        <v>1516.7603867893733</v>
      </c>
      <c r="H46" s="43">
        <f t="shared" si="40"/>
        <v>1419.9458940155837</v>
      </c>
      <c r="I46" s="43">
        <f t="shared" si="41"/>
        <v>1194.0454108767406</v>
      </c>
      <c r="J46" s="43">
        <f t="shared" si="42"/>
        <v>1032.6879229204244</v>
      </c>
      <c r="K46" s="43">
        <f t="shared" si="43"/>
        <v>806.78743978158161</v>
      </c>
      <c r="L46" s="43">
        <f t="shared" si="44"/>
        <v>742.24444459905499</v>
      </c>
      <c r="M46" s="43">
        <f t="shared" si="45"/>
        <v>613.15845423400197</v>
      </c>
      <c r="N46" s="43">
        <f t="shared" si="46"/>
        <v>580.88695664273871</v>
      </c>
      <c r="O46" s="43">
        <f t="shared" si="47"/>
        <v>387.25797109515918</v>
      </c>
      <c r="P46" s="43">
        <f t="shared" si="48"/>
        <v>322.71497591263261</v>
      </c>
      <c r="Q46" s="43">
        <f t="shared" si="49"/>
        <v>129.08599036505305</v>
      </c>
      <c r="R46" s="43">
        <f t="shared" si="50"/>
        <v>96.814492773789794</v>
      </c>
      <c r="S46" s="43">
        <v>28140.745899581565</v>
      </c>
    </row>
    <row r="47" spans="1:19" x14ac:dyDescent="0.55000000000000004">
      <c r="A47" s="23">
        <v>2032</v>
      </c>
      <c r="B47" s="43">
        <f t="shared" si="34"/>
        <v>6527.9494614374216</v>
      </c>
      <c r="C47" s="43">
        <f t="shared" si="35"/>
        <v>4150.9243858053178</v>
      </c>
      <c r="D47" s="43">
        <f t="shared" si="36"/>
        <v>4009.0124409914606</v>
      </c>
      <c r="E47" s="43">
        <f t="shared" si="37"/>
        <v>3512.3206341429614</v>
      </c>
      <c r="F47" s="43">
        <f t="shared" si="38"/>
        <v>3015.6288272944612</v>
      </c>
      <c r="G47" s="43">
        <f t="shared" si="39"/>
        <v>1667.4653515628199</v>
      </c>
      <c r="H47" s="43">
        <f t="shared" si="40"/>
        <v>1561.0313929524273</v>
      </c>
      <c r="I47" s="43">
        <f t="shared" si="41"/>
        <v>1312.6854895281772</v>
      </c>
      <c r="J47" s="43">
        <f t="shared" si="42"/>
        <v>1135.2955585108562</v>
      </c>
      <c r="K47" s="43">
        <f t="shared" si="43"/>
        <v>886.94965508660641</v>
      </c>
      <c r="L47" s="43">
        <f t="shared" si="44"/>
        <v>815.9936826796777</v>
      </c>
      <c r="M47" s="43">
        <f t="shared" si="45"/>
        <v>674.08173786582074</v>
      </c>
      <c r="N47" s="43">
        <f t="shared" si="46"/>
        <v>638.60375166235644</v>
      </c>
      <c r="O47" s="43">
        <f t="shared" si="47"/>
        <v>425.735834441571</v>
      </c>
      <c r="P47" s="43">
        <f t="shared" si="48"/>
        <v>354.77986203464252</v>
      </c>
      <c r="Q47" s="43">
        <f t="shared" si="49"/>
        <v>141.91194481385702</v>
      </c>
      <c r="R47" s="43">
        <f t="shared" si="50"/>
        <v>106.43395861039275</v>
      </c>
      <c r="S47" s="43">
        <v>30936.803969420827</v>
      </c>
    </row>
    <row r="49" spans="1:19" ht="18.3" x14ac:dyDescent="0.7">
      <c r="A49" s="45" t="s">
        <v>136</v>
      </c>
    </row>
    <row r="50" spans="1:19" x14ac:dyDescent="0.55000000000000004">
      <c r="A50" s="35" t="s">
        <v>101</v>
      </c>
      <c r="B50" s="35" t="s">
        <v>112</v>
      </c>
      <c r="C50" s="35" t="s">
        <v>113</v>
      </c>
      <c r="D50" s="35" t="s">
        <v>114</v>
      </c>
      <c r="E50" s="35" t="s">
        <v>115</v>
      </c>
      <c r="F50" s="35" t="s">
        <v>116</v>
      </c>
      <c r="G50" s="35" t="s">
        <v>117</v>
      </c>
      <c r="H50" s="35" t="s">
        <v>118</v>
      </c>
      <c r="I50" s="35" t="s">
        <v>119</v>
      </c>
      <c r="J50" s="35" t="s">
        <v>120</v>
      </c>
      <c r="K50" s="35" t="s">
        <v>121</v>
      </c>
      <c r="L50" s="35" t="s">
        <v>122</v>
      </c>
      <c r="M50" s="35" t="s">
        <v>123</v>
      </c>
      <c r="N50" s="35" t="s">
        <v>124</v>
      </c>
      <c r="O50" s="35" t="s">
        <v>125</v>
      </c>
      <c r="P50" s="35" t="s">
        <v>126</v>
      </c>
      <c r="Q50" s="35" t="s">
        <v>127</v>
      </c>
      <c r="R50" s="35" t="s">
        <v>128</v>
      </c>
    </row>
    <row r="51" spans="1:19" x14ac:dyDescent="0.55000000000000004">
      <c r="A51" s="23">
        <v>2022</v>
      </c>
      <c r="B51" s="43">
        <f>S51*$B$4/100</f>
        <v>963.04716357619691</v>
      </c>
      <c r="C51" s="43">
        <f>S51*$C$4/100</f>
        <v>612.37238118703829</v>
      </c>
      <c r="D51" s="43">
        <f>S51*$D$4/100</f>
        <v>591.43657328320796</v>
      </c>
      <c r="E51" s="43">
        <f>S51*$E$4/100</f>
        <v>518.16124561980166</v>
      </c>
      <c r="F51" s="43">
        <f>S51*$F$4/100</f>
        <v>444.8859179563953</v>
      </c>
      <c r="G51" s="43">
        <f>S51*$G$4/100</f>
        <v>245.99574287000681</v>
      </c>
      <c r="H51" s="43">
        <f>S51*$H$4/100</f>
        <v>230.29388694213404</v>
      </c>
      <c r="I51" s="43">
        <f>S51*$I$4/100</f>
        <v>193.65622311043091</v>
      </c>
      <c r="J51" s="43">
        <f>S51*$J$4/100</f>
        <v>167.48646323064295</v>
      </c>
      <c r="K51" s="43">
        <f>S51*$K$4/100</f>
        <v>130.8487993989398</v>
      </c>
      <c r="L51" s="43">
        <f>S51*$L$4/100</f>
        <v>120.38089544702461</v>
      </c>
      <c r="M51" s="43">
        <f>S51*$M$4/100</f>
        <v>99.445087543194234</v>
      </c>
      <c r="N51" s="43">
        <f>S51*$N$4/100</f>
        <v>94.211135567236653</v>
      </c>
      <c r="O51" s="43">
        <f>S51*$O$4/100</f>
        <v>62.807423711491104</v>
      </c>
      <c r="P51" s="43">
        <f>S51*$P$4/100</f>
        <v>52.339519759575921</v>
      </c>
      <c r="Q51" s="43">
        <f>S51*$Q$4/100</f>
        <v>20.935807903830369</v>
      </c>
      <c r="R51" s="43">
        <f>S51*$R$4/100</f>
        <v>15.701855927872776</v>
      </c>
      <c r="S51" s="43">
        <v>4564.0061230350202</v>
      </c>
    </row>
    <row r="52" spans="1:19" x14ac:dyDescent="0.55000000000000004">
      <c r="A52" s="1">
        <v>2023</v>
      </c>
      <c r="B52" s="43">
        <f t="shared" ref="B52:B61" si="51">S52*$B$4/100</f>
        <v>1556.9387474427092</v>
      </c>
      <c r="C52" s="43">
        <f t="shared" ref="C52:C61" si="52">S52*$C$4/100</f>
        <v>990.00996440650545</v>
      </c>
      <c r="D52" s="43">
        <f t="shared" ref="D52:D61" si="53">S52*$D$4/100</f>
        <v>956.16346989688145</v>
      </c>
      <c r="E52" s="43">
        <f t="shared" ref="E52:E61" si="54">S52*$E$4/100</f>
        <v>837.70073911319707</v>
      </c>
      <c r="F52" s="43">
        <f t="shared" ref="F52:F61" si="55">S52*$F$4/100</f>
        <v>719.23800832951247</v>
      </c>
      <c r="G52" s="43">
        <f t="shared" ref="G52:G61" si="56">S52*$G$4/100</f>
        <v>397.69631048808338</v>
      </c>
      <c r="H52" s="43">
        <f t="shared" ref="H52:H61" si="57">S52*$H$4/100</f>
        <v>372.3114396058653</v>
      </c>
      <c r="I52" s="43">
        <f t="shared" ref="I52:I61" si="58">S52*$I$4/100</f>
        <v>313.08007421402306</v>
      </c>
      <c r="J52" s="43">
        <f t="shared" ref="J52:J61" si="59">S52*$J$4/100</f>
        <v>270.77195607699298</v>
      </c>
      <c r="K52" s="43">
        <f t="shared" ref="K52:K61" si="60">S52*$K$4/100</f>
        <v>211.54059068515073</v>
      </c>
      <c r="L52" s="43">
        <f t="shared" ref="L52:L61" si="61">S52*$L$4/100</f>
        <v>194.61734343033865</v>
      </c>
      <c r="M52" s="43">
        <f t="shared" ref="M52:M61" si="62">S52*$M$4/100</f>
        <v>160.77084892071457</v>
      </c>
      <c r="N52" s="43">
        <f t="shared" ref="N52:N61" si="63">S52*$N$4/100</f>
        <v>152.30922529330851</v>
      </c>
      <c r="O52" s="43">
        <f t="shared" ref="O52:O61" si="64">S52*$O$4/100</f>
        <v>101.53948352887235</v>
      </c>
      <c r="P52" s="43">
        <f t="shared" ref="P52:P61" si="65">S52*$P$4/100</f>
        <v>84.616236274060299</v>
      </c>
      <c r="Q52" s="43">
        <f t="shared" ref="Q52:Q61" si="66">S52*$Q$4/100</f>
        <v>33.846494509624122</v>
      </c>
      <c r="R52" s="43">
        <f t="shared" ref="R52:R60" si="67">S52*$R$4/100</f>
        <v>25.384870882218088</v>
      </c>
      <c r="S52" s="43">
        <v>7378.5358030980578</v>
      </c>
    </row>
    <row r="53" spans="1:19" x14ac:dyDescent="0.55000000000000004">
      <c r="A53" s="23">
        <v>2024</v>
      </c>
      <c r="B53" s="43">
        <f t="shared" si="51"/>
        <v>2274.3772630058261</v>
      </c>
      <c r="C53" s="43">
        <f t="shared" si="52"/>
        <v>1446.2072813678353</v>
      </c>
      <c r="D53" s="43">
        <f t="shared" si="53"/>
        <v>1396.7642973894478</v>
      </c>
      <c r="E53" s="43">
        <f t="shared" si="54"/>
        <v>1223.7138534650915</v>
      </c>
      <c r="F53" s="43">
        <f t="shared" si="55"/>
        <v>1050.6634095407348</v>
      </c>
      <c r="G53" s="43">
        <f t="shared" si="56"/>
        <v>580.95506174605339</v>
      </c>
      <c r="H53" s="43">
        <f t="shared" si="57"/>
        <v>543.8728237622629</v>
      </c>
      <c r="I53" s="43">
        <f t="shared" si="58"/>
        <v>457.34760180008459</v>
      </c>
      <c r="J53" s="43">
        <f t="shared" si="59"/>
        <v>395.54387182710025</v>
      </c>
      <c r="K53" s="43">
        <f t="shared" si="60"/>
        <v>309.01864986492205</v>
      </c>
      <c r="L53" s="43">
        <f t="shared" si="61"/>
        <v>284.29715787572826</v>
      </c>
      <c r="M53" s="43">
        <f t="shared" si="62"/>
        <v>234.85417389734073</v>
      </c>
      <c r="N53" s="43">
        <f t="shared" si="63"/>
        <v>222.49342790274386</v>
      </c>
      <c r="O53" s="43">
        <f t="shared" si="64"/>
        <v>148.32895193516259</v>
      </c>
      <c r="P53" s="43">
        <f t="shared" si="65"/>
        <v>123.60745994596883</v>
      </c>
      <c r="Q53" s="43">
        <f t="shared" si="66"/>
        <v>49.442983978387531</v>
      </c>
      <c r="R53" s="43">
        <f t="shared" si="67"/>
        <v>37.082237983790648</v>
      </c>
      <c r="S53" s="43">
        <v>10778.570507288481</v>
      </c>
    </row>
    <row r="54" spans="1:19" x14ac:dyDescent="0.55000000000000004">
      <c r="A54" s="1">
        <v>2025</v>
      </c>
      <c r="B54" s="43">
        <f t="shared" si="51"/>
        <v>3089.6959077754605</v>
      </c>
      <c r="C54" s="43">
        <f t="shared" si="52"/>
        <v>1964.6435935311354</v>
      </c>
      <c r="D54" s="43">
        <f t="shared" si="53"/>
        <v>1897.4762911881905</v>
      </c>
      <c r="E54" s="43">
        <f t="shared" si="54"/>
        <v>1662.3907329878839</v>
      </c>
      <c r="F54" s="43">
        <f t="shared" si="55"/>
        <v>1427.3051747875768</v>
      </c>
      <c r="G54" s="43">
        <f t="shared" si="56"/>
        <v>789.21580252960132</v>
      </c>
      <c r="H54" s="43">
        <f t="shared" si="57"/>
        <v>738.84032577239282</v>
      </c>
      <c r="I54" s="43">
        <f t="shared" si="58"/>
        <v>621.29754667223938</v>
      </c>
      <c r="J54" s="43">
        <f t="shared" si="59"/>
        <v>537.33841874355846</v>
      </c>
      <c r="K54" s="43">
        <f t="shared" si="60"/>
        <v>419.79563964340502</v>
      </c>
      <c r="L54" s="43">
        <f t="shared" si="61"/>
        <v>386.21198847193256</v>
      </c>
      <c r="M54" s="43">
        <f t="shared" si="62"/>
        <v>319.04468612898779</v>
      </c>
      <c r="N54" s="43">
        <f t="shared" si="63"/>
        <v>302.25286054325153</v>
      </c>
      <c r="O54" s="43">
        <f t="shared" si="64"/>
        <v>201.50190702883438</v>
      </c>
      <c r="P54" s="43">
        <f t="shared" si="65"/>
        <v>167.91825585736197</v>
      </c>
      <c r="Q54" s="43">
        <f t="shared" si="66"/>
        <v>67.167302342944808</v>
      </c>
      <c r="R54" s="43">
        <f t="shared" si="67"/>
        <v>50.375476757208595</v>
      </c>
      <c r="S54" s="43">
        <v>14642.471910761966</v>
      </c>
    </row>
    <row r="55" spans="1:19" x14ac:dyDescent="0.55000000000000004">
      <c r="A55" s="23">
        <v>2026</v>
      </c>
      <c r="B55" s="43">
        <f t="shared" si="51"/>
        <v>3984.3730512863972</v>
      </c>
      <c r="C55" s="43">
        <f t="shared" si="52"/>
        <v>2533.5415597853726</v>
      </c>
      <c r="D55" s="43">
        <f t="shared" si="53"/>
        <v>2446.9247543226247</v>
      </c>
      <c r="E55" s="43">
        <f t="shared" si="54"/>
        <v>2143.7659352030078</v>
      </c>
      <c r="F55" s="43">
        <f t="shared" si="55"/>
        <v>1840.6071160833901</v>
      </c>
      <c r="G55" s="43">
        <f t="shared" si="56"/>
        <v>1017.7474641872864</v>
      </c>
      <c r="H55" s="43">
        <f t="shared" si="57"/>
        <v>952.78486009022561</v>
      </c>
      <c r="I55" s="43">
        <f t="shared" si="58"/>
        <v>801.2054505304169</v>
      </c>
      <c r="J55" s="43">
        <f t="shared" si="59"/>
        <v>692.93444370198222</v>
      </c>
      <c r="K55" s="43">
        <f t="shared" si="60"/>
        <v>541.35503414217362</v>
      </c>
      <c r="L55" s="43">
        <f t="shared" si="61"/>
        <v>498.04663141079965</v>
      </c>
      <c r="M55" s="43">
        <f t="shared" si="62"/>
        <v>411.42982594805193</v>
      </c>
      <c r="N55" s="43">
        <f t="shared" si="63"/>
        <v>389.77562458236497</v>
      </c>
      <c r="O55" s="43">
        <f t="shared" si="64"/>
        <v>259.85041638824333</v>
      </c>
      <c r="P55" s="43">
        <f t="shared" si="65"/>
        <v>216.54201365686947</v>
      </c>
      <c r="Q55" s="43">
        <f t="shared" si="66"/>
        <v>86.616805462747777</v>
      </c>
      <c r="R55" s="43">
        <f t="shared" si="67"/>
        <v>64.962604097060833</v>
      </c>
      <c r="S55" s="43">
        <v>18882.463590879015</v>
      </c>
    </row>
    <row r="56" spans="1:19" x14ac:dyDescent="0.55000000000000004">
      <c r="A56" s="1">
        <v>2027</v>
      </c>
      <c r="B56" s="43">
        <f t="shared" si="51"/>
        <v>4945.1117826234477</v>
      </c>
      <c r="C56" s="43">
        <f t="shared" si="52"/>
        <v>3144.4460791681713</v>
      </c>
      <c r="D56" s="43">
        <f t="shared" si="53"/>
        <v>3036.9436491111392</v>
      </c>
      <c r="E56" s="43">
        <f t="shared" si="54"/>
        <v>2660.6851439115294</v>
      </c>
      <c r="F56" s="43">
        <f t="shared" si="55"/>
        <v>2284.4266387119192</v>
      </c>
      <c r="G56" s="43">
        <f t="shared" si="56"/>
        <v>1263.1535531701199</v>
      </c>
      <c r="H56" s="43">
        <f t="shared" si="57"/>
        <v>1182.5267306273463</v>
      </c>
      <c r="I56" s="43">
        <f t="shared" si="58"/>
        <v>994.39747802754118</v>
      </c>
      <c r="J56" s="43">
        <f t="shared" si="59"/>
        <v>860.01944045625191</v>
      </c>
      <c r="K56" s="43">
        <f t="shared" si="60"/>
        <v>671.89018785644669</v>
      </c>
      <c r="L56" s="43">
        <f t="shared" si="61"/>
        <v>618.13897282793096</v>
      </c>
      <c r="M56" s="43">
        <f t="shared" si="62"/>
        <v>510.63654277089955</v>
      </c>
      <c r="N56" s="43">
        <f t="shared" si="63"/>
        <v>483.76093525664163</v>
      </c>
      <c r="O56" s="43">
        <f t="shared" si="64"/>
        <v>322.50729017109444</v>
      </c>
      <c r="P56" s="43">
        <f t="shared" si="65"/>
        <v>268.75607514257871</v>
      </c>
      <c r="Q56" s="43">
        <f t="shared" si="66"/>
        <v>107.50243005703149</v>
      </c>
      <c r="R56" s="43">
        <f t="shared" si="67"/>
        <v>80.62682254277361</v>
      </c>
      <c r="S56" s="43">
        <v>23435.529752432863</v>
      </c>
    </row>
    <row r="57" spans="1:19" x14ac:dyDescent="0.55000000000000004">
      <c r="A57" s="23">
        <v>2028</v>
      </c>
      <c r="B57" s="43">
        <f t="shared" si="51"/>
        <v>5962.3010811638869</v>
      </c>
      <c r="C57" s="43">
        <f t="shared" si="52"/>
        <v>3791.2457961748628</v>
      </c>
      <c r="D57" s="43">
        <f t="shared" si="53"/>
        <v>3661.6305552799959</v>
      </c>
      <c r="E57" s="43">
        <f t="shared" si="54"/>
        <v>3207.9772121479614</v>
      </c>
      <c r="F57" s="43">
        <f t="shared" si="55"/>
        <v>2754.323869015926</v>
      </c>
      <c r="G57" s="43">
        <f t="shared" si="56"/>
        <v>1522.9790805146883</v>
      </c>
      <c r="H57" s="43">
        <f t="shared" si="57"/>
        <v>1425.7676498435383</v>
      </c>
      <c r="I57" s="43">
        <f t="shared" si="58"/>
        <v>1198.9409782775206</v>
      </c>
      <c r="J57" s="43">
        <f t="shared" si="59"/>
        <v>1036.9219271589368</v>
      </c>
      <c r="K57" s="43">
        <f t="shared" si="60"/>
        <v>810.09525559291944</v>
      </c>
      <c r="L57" s="43">
        <f t="shared" si="61"/>
        <v>745.28763514548586</v>
      </c>
      <c r="M57" s="43">
        <f t="shared" si="62"/>
        <v>615.67239425061871</v>
      </c>
      <c r="N57" s="43">
        <f t="shared" si="63"/>
        <v>583.26858402690186</v>
      </c>
      <c r="O57" s="43">
        <f t="shared" si="64"/>
        <v>388.8457226846013</v>
      </c>
      <c r="P57" s="43">
        <f t="shared" si="65"/>
        <v>324.03810223716778</v>
      </c>
      <c r="Q57" s="43">
        <f t="shared" si="66"/>
        <v>129.6152408948671</v>
      </c>
      <c r="R57" s="43">
        <f t="shared" si="67"/>
        <v>97.211430671150325</v>
      </c>
      <c r="S57" s="43">
        <v>28256.122515081028</v>
      </c>
    </row>
    <row r="58" spans="1:19" x14ac:dyDescent="0.55000000000000004">
      <c r="A58" s="1">
        <v>2029</v>
      </c>
      <c r="B58" s="43">
        <f t="shared" si="51"/>
        <v>7028.8957838584738</v>
      </c>
      <c r="C58" s="43">
        <f t="shared" si="52"/>
        <v>4469.4609060404437</v>
      </c>
      <c r="D58" s="43">
        <f t="shared" si="53"/>
        <v>4316.65882378265</v>
      </c>
      <c r="E58" s="43">
        <f t="shared" si="54"/>
        <v>3781.8515358803752</v>
      </c>
      <c r="F58" s="43">
        <f t="shared" si="55"/>
        <v>3247.0442479780995</v>
      </c>
      <c r="G58" s="43">
        <f t="shared" si="56"/>
        <v>1795.4244665290669</v>
      </c>
      <c r="H58" s="43">
        <f t="shared" si="57"/>
        <v>1680.8229048357223</v>
      </c>
      <c r="I58" s="43">
        <f t="shared" si="58"/>
        <v>1413.4192608845844</v>
      </c>
      <c r="J58" s="43">
        <f t="shared" si="59"/>
        <v>1222.4166580623435</v>
      </c>
      <c r="K58" s="43">
        <f t="shared" si="60"/>
        <v>955.01301411120585</v>
      </c>
      <c r="L58" s="43">
        <f t="shared" si="61"/>
        <v>878.61197298230923</v>
      </c>
      <c r="M58" s="43">
        <f t="shared" si="62"/>
        <v>725.80989072451632</v>
      </c>
      <c r="N58" s="43">
        <f t="shared" si="63"/>
        <v>687.60937016006801</v>
      </c>
      <c r="O58" s="43">
        <f t="shared" si="64"/>
        <v>458.40624677337871</v>
      </c>
      <c r="P58" s="43">
        <f t="shared" si="65"/>
        <v>382.00520564448232</v>
      </c>
      <c r="Q58" s="43">
        <f t="shared" si="66"/>
        <v>152.80208225779293</v>
      </c>
      <c r="R58" s="43">
        <f t="shared" si="67"/>
        <v>114.60156169334468</v>
      </c>
      <c r="S58" s="43">
        <v>33310.853932198857</v>
      </c>
    </row>
    <row r="59" spans="1:19" x14ac:dyDescent="0.55000000000000004">
      <c r="A59" s="23">
        <v>2030</v>
      </c>
      <c r="B59" s="43">
        <f t="shared" si="51"/>
        <v>8139.6344132190734</v>
      </c>
      <c r="C59" s="43">
        <f t="shared" si="52"/>
        <v>5175.7457953621288</v>
      </c>
      <c r="D59" s="43">
        <f t="shared" si="53"/>
        <v>4998.7972211617134</v>
      </c>
      <c r="E59" s="43">
        <f t="shared" si="54"/>
        <v>4379.4772114602629</v>
      </c>
      <c r="F59" s="43">
        <f t="shared" si="55"/>
        <v>3760.157201758811</v>
      </c>
      <c r="G59" s="43">
        <f t="shared" si="56"/>
        <v>2079.145746854872</v>
      </c>
      <c r="H59" s="43">
        <f t="shared" si="57"/>
        <v>1946.4343162045614</v>
      </c>
      <c r="I59" s="43">
        <f t="shared" si="58"/>
        <v>1636.7743113538352</v>
      </c>
      <c r="J59" s="43">
        <f t="shared" si="59"/>
        <v>1415.5885936033173</v>
      </c>
      <c r="K59" s="43">
        <f t="shared" si="60"/>
        <v>1105.9285887525914</v>
      </c>
      <c r="L59" s="43">
        <f t="shared" si="61"/>
        <v>1017.4543016523842</v>
      </c>
      <c r="M59" s="43">
        <f t="shared" si="62"/>
        <v>840.50572745196962</v>
      </c>
      <c r="N59" s="43">
        <f t="shared" si="63"/>
        <v>796.26858390186578</v>
      </c>
      <c r="O59" s="43">
        <f t="shared" si="64"/>
        <v>530.84572260124389</v>
      </c>
      <c r="P59" s="43">
        <f t="shared" si="65"/>
        <v>442.37143550103661</v>
      </c>
      <c r="Q59" s="43">
        <f t="shared" si="66"/>
        <v>176.94857420041467</v>
      </c>
      <c r="R59" s="43">
        <f t="shared" si="67"/>
        <v>132.71143065031097</v>
      </c>
      <c r="S59" s="43">
        <v>38574.789175690392</v>
      </c>
    </row>
    <row r="60" spans="1:19" x14ac:dyDescent="0.55000000000000004">
      <c r="A60" s="1">
        <v>2031</v>
      </c>
      <c r="B60" s="43">
        <f t="shared" si="51"/>
        <v>9290.502623387416</v>
      </c>
      <c r="C60" s="43">
        <f t="shared" si="52"/>
        <v>5907.5478637843908</v>
      </c>
      <c r="D60" s="43">
        <f t="shared" si="53"/>
        <v>5705.5804154498819</v>
      </c>
      <c r="E60" s="43">
        <f t="shared" si="54"/>
        <v>4998.6943462790996</v>
      </c>
      <c r="F60" s="43">
        <f t="shared" si="55"/>
        <v>4291.8082771083173</v>
      </c>
      <c r="G60" s="43">
        <f t="shared" si="56"/>
        <v>2373.1175179304814</v>
      </c>
      <c r="H60" s="43">
        <f t="shared" si="57"/>
        <v>2221.6419316796</v>
      </c>
      <c r="I60" s="43">
        <f t="shared" si="58"/>
        <v>1868.1988970942089</v>
      </c>
      <c r="J60" s="43">
        <f t="shared" si="59"/>
        <v>1615.7395866760728</v>
      </c>
      <c r="K60" s="43">
        <f t="shared" si="60"/>
        <v>1262.2965520906816</v>
      </c>
      <c r="L60" s="43">
        <f t="shared" si="61"/>
        <v>1161.312827923427</v>
      </c>
      <c r="M60" s="43">
        <f t="shared" si="62"/>
        <v>959.34537958891804</v>
      </c>
      <c r="N60" s="43">
        <f t="shared" si="63"/>
        <v>908.85351750529082</v>
      </c>
      <c r="O60" s="43">
        <f t="shared" si="64"/>
        <v>605.90234500352722</v>
      </c>
      <c r="P60" s="43">
        <f t="shared" si="65"/>
        <v>504.91862083627268</v>
      </c>
      <c r="Q60" s="43">
        <f t="shared" si="66"/>
        <v>201.9674483345091</v>
      </c>
      <c r="R60" s="43">
        <f t="shared" si="67"/>
        <v>151.4755862508818</v>
      </c>
      <c r="S60" s="43">
        <v>44028.903736922977</v>
      </c>
    </row>
    <row r="61" spans="1:19" x14ac:dyDescent="0.55000000000000004">
      <c r="A61" s="23">
        <v>2032</v>
      </c>
      <c r="B61" s="43">
        <f t="shared" si="51"/>
        <v>10478.367342705475</v>
      </c>
      <c r="C61" s="43">
        <f t="shared" si="52"/>
        <v>6662.8748863942419</v>
      </c>
      <c r="D61" s="43">
        <f t="shared" si="53"/>
        <v>6435.0842919876022</v>
      </c>
      <c r="E61" s="43">
        <f t="shared" si="54"/>
        <v>5637.8172115643592</v>
      </c>
      <c r="F61" s="43">
        <f t="shared" si="55"/>
        <v>4840.5501311411163</v>
      </c>
      <c r="G61" s="43">
        <f t="shared" si="56"/>
        <v>2676.5394842780288</v>
      </c>
      <c r="H61" s="43">
        <f t="shared" si="57"/>
        <v>2505.6965384730483</v>
      </c>
      <c r="I61" s="43">
        <f t="shared" si="58"/>
        <v>2107.0629982614269</v>
      </c>
      <c r="J61" s="43">
        <f t="shared" si="59"/>
        <v>1822.3247552531261</v>
      </c>
      <c r="K61" s="43">
        <f t="shared" si="60"/>
        <v>1423.6912150415048</v>
      </c>
      <c r="L61" s="43">
        <f t="shared" si="61"/>
        <v>1309.7959178381843</v>
      </c>
      <c r="M61" s="43">
        <f t="shared" si="62"/>
        <v>1082.0053234315435</v>
      </c>
      <c r="N61" s="43">
        <f t="shared" si="63"/>
        <v>1025.0576748298834</v>
      </c>
      <c r="O61" s="43">
        <f t="shared" si="64"/>
        <v>683.37178321992224</v>
      </c>
      <c r="P61" s="43">
        <f t="shared" si="65"/>
        <v>569.47648601660194</v>
      </c>
      <c r="Q61" s="43">
        <f t="shared" si="66"/>
        <v>227.79059440664076</v>
      </c>
      <c r="R61" s="43">
        <f>S61*$R$4/100</f>
        <v>170.84294580498056</v>
      </c>
      <c r="S61" s="43">
        <v>49658.349580647686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 - summary</vt:lpstr>
      <vt:lpstr>EV forecast data</vt:lpstr>
      <vt:lpstr>EV historic</vt:lpstr>
      <vt:lpstr>Umar's EV forecast</vt:lpstr>
      <vt:lpstr>branch forecasts</vt:lpstr>
      <vt:lpstr>PHEV and BEV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Prashansa (CAI - Home Based/Remote)</dc:creator>
  <cp:lastModifiedBy>Gupta, Prashansa (CAI - Home Based/Remote)</cp:lastModifiedBy>
  <dcterms:created xsi:type="dcterms:W3CDTF">2015-06-05T18:17:20Z</dcterms:created>
  <dcterms:modified xsi:type="dcterms:W3CDTF">2022-07-25T10:18:10Z</dcterms:modified>
</cp:coreProperties>
</file>